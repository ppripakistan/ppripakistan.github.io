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2da885c9f64d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e44fd5a026f54c2a"/>
    <x:sheet xmlns:r="http://schemas.openxmlformats.org/officeDocument/2006/relationships" name="Master Catalog" sheetId="2" r:id="R719833b872ad489a"/>
    <x:sheet xmlns:r="http://schemas.openxmlformats.org/officeDocument/2006/relationships" name="Download Queue" sheetId="3" r:id="Raaca9274d87342e6"/>
    <x:sheet xmlns:r="http://schemas.openxmlformats.org/officeDocument/2006/relationships" name="Topic Map" sheetId="4" r:id="Rcac63f8640d2424c"/>
    <x:sheet xmlns:r="http://schemas.openxmlformats.org/officeDocument/2006/relationships" name="Acquisition Workflow" sheetId="5" r:id="R0112814be8f444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0"/>
      <x:color rgb="FFFFFFFF"/>
      <x:name val="Carlito"/>
    </x:font>
    <x:font>
      <x:sz val="9"/>
      <x:color rgb="FF243746"/>
      <x:name val="Carlito"/>
    </x:font>
    <x:font>
      <x:b/>
      <x:sz val="16"/>
      <x:color rgb="FFFFFFFF"/>
      <x:name val="Carlito"/>
    </x:font>
    <x:font>
      <x:i/>
      <x:sz val="10"/>
      <x:color rgb="FF243746"/>
      <x:name val="Carlito"/>
    </x:font>
    <x:font>
      <x:b/>
      <x:sz val="11"/>
      <x:color rgb="FFFFFFFF"/>
      <x:name val="Carlito"/>
    </x:font>
    <x:font>
      <x:sz val="11"/>
      <x:color rgb="FF243746"/>
      <x:name val="Carlito"/>
    </x:font>
    <x:font>
      <x:b/>
      <x:sz val="13"/>
      <x:color rgb="FF1D5D8F"/>
      <x:name val="Carlito"/>
    </x:font>
    <x:font>
      <x:b/>
      <x:sz val="11"/>
      <x:color rgb="FF15304B"/>
      <x:name val="Carlito"/>
    </x:font>
    <x:font>
      <x:sz val="10"/>
      <x:color rgb="FF243746"/>
      <x:name val="Carlito"/>
    </x:font>
    <x:font>
      <x:sz val="11"/>
      <x:color rgb="FF1D5D8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5304B"/>
      </x:patternFill>
    </x:fill>
    <x:fill>
      <x:patternFill patternType="solid">
        <x:fgColor rgb="FFF9FBFC"/>
      </x:patternFill>
    </x:fill>
    <x:fill>
      <x:patternFill patternType="solid">
        <x:fgColor rgb="FFEAF2F8"/>
      </x:patternFill>
    </x:fill>
    <x:fill>
      <x:patternFill patternType="solid">
        <x:fgColor rgb="FF147D78"/>
      </x:patternFill>
    </x:fill>
    <x:fill>
      <x:patternFill patternType="solid">
        <x:fgColor rgb="FFF4F6F8"/>
      </x:patternFill>
    </x:fill>
    <x:fill>
      <x:patternFill patternType="solid">
        <x:fgColor rgb="FFFFF0CC"/>
      </x:patternFill>
    </x:fill>
    <x:fill>
      <x:patternFill patternType="solid">
        <x:fgColor rgb="FF1D5D8F"/>
      </x:patternFill>
    </x:fill>
  </x:fills>
  <x:borders count="2">
    <x:border/>
    <x:border/>
  </x:borders>
  <x:cellStyleXfs count="1">
    <x:xf numFmtId="0" fontId="0" fillId="0" borderId="0"/>
  </x:cellStyleXfs>
  <x:cellXfs count="10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9" fillId="7" borderId="1" xfId="0" applyNumberFormat="1" applyFont="1" applyFill="1" applyBorder="1"/>
    <x:xf numFmtId="0" fontId="9" fillId="7" borderId="1" xfId="0" applyNumberFormat="1" applyFont="1" applyFill="1" applyBorder="1" applyAlignment="1">
      <x:alignment wrapText="1"/>
    </x:xf>
    <x:xf numFmtId="0" fontId="9" fillId="7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 applyAlignment="1">
      <x:alignment vertical="top" wrapText="1"/>
    </x:xf>
    <x:xf numFmtId="0" fontId="9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 applyAlignment="1">
      <x:alignment horizontal="center" vertical="top"/>
    </x:xf>
    <x:xf numFmtId="0" fontId="10" fillId="0" borderId="1" xfId="0" applyNumberFormat="1" applyFont="1" applyFill="1" applyBorder="1"/>
    <x:xf numFmtId="0" fontId="10" fillId="0" borderId="1" xfId="0" applyNumberFormat="1" applyFont="1" applyFill="1" applyBorder="1" applyAlignment="1">
      <x:alignment horizontal="center"/>
    </x:xf>
    <x:xf numFmtId="0" fontId="10" fillId="0" borderId="1" xfId="0" applyNumberFormat="1" applyFont="1" applyFill="1" applyBorder="1" applyAlignment="1">
      <x:alignment horizontal="center" vertical="top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5">
    <x:dxf>
      <x:font>
        <x:b/>
        <x:color rgb="FF14532D"/>
      </x:font>
      <x:fill>
        <x:patternFill patternType="solid">
          <x:bgColor rgb="FFD8EEDC"/>
        </x:patternFill>
      </x:fill>
    </x:dxf>
    <x:dxf>
      <x:font>
        <x:b/>
        <x:color rgb="FF164E80"/>
      </x:font>
      <x:fill>
        <x:patternFill patternType="solid">
          <x:bgColor rgb="FFDDECF9"/>
        </x:patternFill>
      </x:fill>
    </x:dxf>
    <x:dxf>
      <x:font>
        <x:b/>
        <x:color rgb="FF854D0E"/>
      </x:font>
      <x:fill>
        <x:patternFill patternType="solid">
          <x:bgColor rgb="FFFFF1CC"/>
        </x:patternFill>
      </x:fill>
    </x:dxf>
    <x:dxf>
      <x:font>
        <x:b/>
        <x:color rgb="FF991B1B"/>
      </x:font>
      <x:fill>
        <x:patternFill patternType="solid">
          <x:bgColor rgb="FFFDE2E2"/>
        </x:patternFill>
      </x:fill>
    </x:dxf>
    <x:dxf>
      <x:font>
        <x:b/>
        <x:color rgb="FF065F46"/>
      </x:font>
      <x:fill>
        <x:patternFill patternType="solid">
          <x:bgColor rgb="FFE4F3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6c1a2406f24c8d" /><Relationship Type="http://schemas.openxmlformats.org/officeDocument/2006/relationships/theme" Target="/xl/theme/theme1.xml" Id="R4b157b547ad542e4" /><Relationship Type="http://schemas.openxmlformats.org/officeDocument/2006/relationships/sharedStrings" Target="/xl/sharedStrings.xml" Id="R6c0f0392993544e7" /><Relationship Type="http://schemas.openxmlformats.org/officeDocument/2006/relationships/worksheet" Target="/xl/worksheets/sheet1.xml" Id="Re44fd5a026f54c2a" /><Relationship Type="http://schemas.openxmlformats.org/officeDocument/2006/relationships/worksheet" Target="/xl/worksheets/sheet2.xml" Id="R719833b872ad489a" /><Relationship Type="http://schemas.openxmlformats.org/officeDocument/2006/relationships/worksheet" Target="/xl/worksheets/sheet3.xml" Id="Raaca9274d87342e6" /><Relationship Type="http://schemas.openxmlformats.org/officeDocument/2006/relationships/worksheet" Target="/xl/worksheets/sheet4.xml" Id="Rcac63f8640d2424c" /><Relationship Type="http://schemas.openxmlformats.org/officeDocument/2006/relationships/worksheet" Target="/xl/worksheets/sheet5.xml" Id="R0112814be8f4445c" /></Relationships>
</file>

<file path=xl/tables/table1.xml><?xml version="1.0" encoding="utf-8"?>
<x:table xmlns:x="http://schemas.openxmlformats.org/spreadsheetml/2006/main" id="1" name="PakistanDataCatalog" displayName="PakistanDataCatalog" ref="A1:O188" headerRowCount="1" totalsRowCount="0" totalsRowShown="0">
  <x:tableColumns count="15">
    <x:tableColumn id="1" name="Resource ID"/>
    <x:tableColumn id="2" name="Grade"/>
    <x:tableColumn id="3" name="Topic / Category"/>
    <x:tableColumn id="4" name="Resource / dataset"/>
    <x:tableColumn id="5" name="Data owner / publisher"/>
    <x:tableColumn id="6" name="Landing page"/>
    <x:tableColumn id="7" name="Direct file URL(s) / acquisition link"/>
    <x:tableColumn id="8" name="Formats &amp; access mode"/>
    <x:tableColumn id="9" name="Period / coverage"/>
    <x:tableColumn id="10" name="Geographic detail"/>
    <x:tableColumn id="11" name="Research uses / variables"/>
    <x:tableColumn id="12" name="Caveats / access / quality notes"/>
    <x:tableColumn id="13" name="Verification note"/>
    <x:tableColumn id="14" name="Suggested priority"/>
    <x:tableColumn id="15" name="Acquisition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DownloadQueueTable" displayName="DownloadQueueTable" ref="A1:K38" headerRowCount="1" totalsRowCount="0" totalsRowShown="0">
  <x:tableColumns count="11">
    <x:tableColumn id="1" name="Queue ID"/>
    <x:tableColumn id="2" name="Grade"/>
    <x:tableColumn id="3" name="Priority"/>
    <x:tableColumn id="4" name="Resource / file family"/>
    <x:tableColumn id="5" name="Topic"/>
    <x:tableColumn id="6" name="Landing / access page"/>
    <x:tableColumn id="7" name="Direct file URL(s) / route"/>
    <x:tableColumn id="8" name="Formats / what to obtain"/>
    <x:tableColumn id="9" name="Coverage"/>
    <x:tableColumn id="10" name="Access caution"/>
    <x:tableColumn id="11" name="Acquisition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TopicMapTable" displayName="TopicMapTable" ref="A1:G23" headerRowCount="1" totalsRowCount="0" totalsRowShown="0">
  <x:tableColumns count="7">
    <x:tableColumn id="1" name="Topic / question"/>
    <x:tableColumn id="2" name="Primary Pakistan data source(s)"/>
    <x:tableColumn id="3" name="Useful raw files / tables"/>
    <x:tableColumn id="4" name="International comparator / second source"/>
    <x:tableColumn id="5" name="Best geographic level"/>
    <x:tableColumn id="6" name="Potential analysis directions"/>
    <x:tableColumn id="7" name="Key cau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cquisitionWorkflowTable" displayName="AcquisitionWorkflowTable" ref="A1:E17" headerRowCount="1" totalsRowCount="0" totalsRowShown="0">
  <x:tableColumns count="5">
    <x:tableColumn id="1" name="Step"/>
    <x:tableColumn id="2" name="Checkpoint"/>
    <x:tableColumn id="3" name="What to do"/>
    <x:tableColumn id="4" name="Evidence to save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4a426a3c7045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9678facbfe43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22572b715741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ef13fb13d34ded" /></Relationships>
</file>

<file path=xl/worksheets/sheet1.xml><?xml version="1.0" encoding="utf-8"?>
<x:worksheet xmlns:x="http://schemas.openxmlformats.org/spreadsheetml/2006/main">
  <x:sheetViews>
    <x:sheetView workbookViewId="0">
      <x:pane ySplit="12" topLeftCell="A13" activePane="bottomLeft" state="frozen"/>
    </x:sheetView>
  </x:sheetViews>
  <x:sheetFormatPr defaultRowHeight="15"/>
  <x:cols>
    <x:col min="1" max="1" width="22" hidden="0" customWidth="1"/>
    <x:col min="2" max="2" width="30" hidden="0" customWidth="1"/>
    <x:col min="3" max="3" width="47" hidden="0" customWidth="1"/>
    <x:col min="4" max="4" width="32" hidden="0" customWidth="1"/>
    <x:col min="5" max="5" width="38" hidden="0" customWidth="1"/>
    <x:col min="6" max="6" width="28" hidden="0" customWidth="1"/>
    <x:col min="7" max="7" width="26" hidden="0" customWidth="1"/>
    <x:col min="8" max="8" width="10" hidden="0" customWidth="1"/>
  </x:cols>
  <x:sheetData>
    <x:row r="1" ht="34" customHeight="1">
      <x:c r="A1" s="21" t="str">
        <x:v>PAKISTAN DATA RESOURCE INVENTORY | Research acquisition workbook</x:v>
      </x:c>
      <x:c r="B1" s="21"/>
      <x:c r="C1" s="21"/>
      <x:c r="D1" s="21"/>
      <x:c r="E1" s="21"/>
      <x:c r="F1" s="21"/>
      <x:c r="G1" s="21"/>
      <x:c r="H1" s="21"/>
    </x:row>
    <x:row r="2" ht="24" customHeight="1">
      <x:c r="A2" s="25" t="str">
        <x:v>Version date: 28 October 2026  |  Purpose: find the underlying files first; analyze and synthesize later.</x:v>
      </x:c>
      <x:c r="B2" s="25"/>
      <x:c r="C2" s="25"/>
      <x:c r="D2" s="25"/>
      <x:c r="E2" s="25"/>
      <x:c r="F2" s="25"/>
      <x:c r="G2" s="25"/>
      <x:c r="H2" s="25"/>
    </x:row>
    <x:row r="4" ht="24" customHeight="1">
      <x:c r="A4" s="31" t="str">
        <x:v>Inventory metric</x:v>
      </x:c>
      <x:c r="B4" s="31" t="str">
        <x:v>Count</x:v>
      </x:c>
      <x:c r="D4" s="31" t="str">
        <x:v>How to use this workbook</x:v>
      </x:c>
      <x:c r="E4" s="31"/>
      <x:c r="F4" s="31"/>
      <x:c r="G4" s="31"/>
      <x:c r="H4" s="31"/>
    </x:row>
    <x:row r="5" ht="23" customHeight="1">
      <x:c r="A5" s="37" t="str">
        <x:v>Total resources</x:v>
      </x:c>
      <x:c r="B5" s="41" t="n">
        <x:f>COUNTA('Master Catalog'!A2:A188)</x:f>
        <x:v>187</x:v>
      </x:c>
      <x:c r="D5" s="48" t="str">
        <x:v>1. Master Catalog</x:v>
      </x:c>
      <x:c r="E5" s="53" t="str">
        <x:v>Filter by topic, grade, geography, period, format or priority.</x:v>
      </x:c>
      <x:c r="F5" s="59" t="str">
        <x:v>Important: this is a source and acquisition index, not a ZIP containing every external dataset. Some sources provide direct files; others require selecting a release, registering, signing in or submitting a data request. The Master Catalog distinguishes landing pages from known direct links and records access caveats.</x:v>
      </x:c>
      <x:c r="G5" s="59"/>
      <x:c r="H5" s="59"/>
    </x:row>
    <x:row r="6" ht="23" customHeight="1">
      <x:c r="A6" s="37" t="str">
        <x:v>A1 — primary official</x:v>
      </x:c>
      <x:c r="B6" s="41" t="n">
        <x:f>COUNTIF('Master Catalog'!B2:B188,"A1")</x:f>
        <x:v>89</x:v>
      </x:c>
      <x:c r="D6" s="48" t="str">
        <x:v>2. Download Queue</x:v>
      </x:c>
      <x:c r="E6" s="53" t="str">
        <x:v>Start with high-value raw microdata, Excel tables, APIs and downloadable reports.</x:v>
      </x:c>
      <x:c r="F6" s="59"/>
      <x:c r="G6" s="59"/>
      <x:c r="H6" s="59"/>
    </x:row>
    <x:row r="7" ht="23" customHeight="1">
      <x:c r="A7" s="37" t="str">
        <x:v>A2 — major international / academic</x:v>
      </x:c>
      <x:c r="B7" s="41" t="n">
        <x:f>COUNTIF('Master Catalog'!B2:B188,"A2")</x:f>
        <x:v>60</x:v>
      </x:c>
      <x:c r="D7" s="48" t="str">
        <x:v>3. Topic Map</x:v>
      </x:c>
      <x:c r="E7" s="53" t="str">
        <x:v>Quickly choose first sources for a research question.</x:v>
      </x:c>
      <x:c r="F7" s="59"/>
      <x:c r="G7" s="59"/>
      <x:c r="H7" s="59"/>
    </x:row>
    <x:row r="8" ht="23" customHeight="1">
      <x:c r="A8" s="37" t="str">
        <x:v>B / C — research, aggregators and media</x:v>
      </x:c>
      <x:c r="B8" s="41" t="n">
        <x:f>COUNTIF('Master Catalog'!B2:B188,"B")+COUNTIF('Master Catalog'!B2:B188,"C")</x:f>
        <x:v>38</x:v>
      </x:c>
      <x:c r="D8" s="48" t="str">
        <x:v>4. Acquisition Workflow</x:v>
      </x:c>
      <x:c r="E8" s="53" t="str">
        <x:v>Use the checklist before analysis, merging or publication.</x:v>
      </x:c>
      <x:c r="F8" s="59"/>
      <x:c r="G8" s="59"/>
      <x:c r="H8" s="59"/>
    </x:row>
    <x:row r="9">
      <x:c r="D9" s="48" t="str">
        <x:v>5. Status tracking</x:v>
      </x:c>
      <x:c r="E9" s="53" t="str">
        <x:v>Change each item from Not started to Downloaded / Validated / Used.</x:v>
      </x:c>
      <x:c r="F9" s="59"/>
      <x:c r="G9" s="59"/>
      <x:c r="H9" s="59"/>
    </x:row>
    <x:row r="11" ht="24" customHeight="1">
      <x:c r="A11" s="66" t="str">
        <x:v>Best first-pass acquisition stack</x:v>
      </x:c>
      <x:c r="B11" s="66"/>
      <x:c r="C11" s="66"/>
      <x:c r="D11" s="66"/>
      <x:c r="E11" s="66"/>
      <x:c r="F11" s="66"/>
      <x:c r="G11" s="66"/>
      <x:c r="H11" s="66"/>
    </x:row>
    <x:row r="12" ht="24" customHeight="1">
      <x:c r="A12" s="73" t="str">
        <x:v>Order</x:v>
      </x:c>
      <x:c r="B12" s="73" t="str">
        <x:v>Resource</x:v>
      </x:c>
      <x:c r="C12" s="73" t="str">
        <x:v>Why get it first</x:v>
      </x:c>
      <x:c r="D12" s="73" t="str">
        <x:v>Format / access</x:v>
      </x:c>
      <x:c r="E12" s="73" t="str">
        <x:v>Landing page</x:v>
      </x:c>
      <x:c r="F12" s="73" t="str">
        <x:v>Direct links?</x:v>
      </x:c>
      <x:c r="G12" s="73" t="str">
        <x:v>Suggested topic</x:v>
      </x:c>
      <x:c r="H12" s="73" t="str">
        <x:v>Grade</x:v>
      </x:c>
    </x:row>
    <x:row r="13" ht="58" customHeight="1">
      <x:c r="A13" s="14" t="n">
        <x:v>1</x:v>
      </x:c>
      <x:c r="B13" s="14" t="str">
        <x:v>PBS HIES 2024–25</x:v>
      </x:c>
      <x:c r="C13" s="14" t="str">
        <x:v>Household income/consumption, poverty inputs, education, health, ICT, WASH, gender-related splits</x:v>
      </x:c>
      <x:c r="D13" s="14" t="str">
        <x:v>SPSS/Stata microdata + reports</x:v>
      </x:c>
      <x:c r="E13" s="14" t="str">
        <x:v>https://www.pbs.gov.pk/hies/</x:v>
      </x:c>
      <x:c r="F13" s="14" t="str">
        <x:v>Yes — ZIP links in catalog</x:v>
      </x:c>
      <x:c r="G13" s="14" t="str">
        <x:v>Poverty / living standards</x:v>
      </x:c>
      <x:c r="H13" s="14" t="str">
        <x:v>A1</x:v>
      </x:c>
    </x:row>
    <x:row r="14" ht="58" customHeight="1">
      <x:c r="A14" s="14" t="n">
        <x:v>2</x:v>
      </x:c>
      <x:c r="B14" s="14" t="str">
        <x:v>PBS Labour Force Survey 2024–25</x:v>
      </x:c>
      <x:c r="C14" s="14" t="str">
        <x:v>Employment, wages, unemployment, informality, occupations, industry, digital platform work</x:v>
      </x:c>
      <x:c r="D14" s="14" t="str">
        <x:v>SPSS/Stata archive + codebook + questionnaire</x:v>
      </x:c>
      <x:c r="E14" s="14" t="str">
        <x:v>https://www.pbs.gov.pk/labour-force-statistics/</x:v>
      </x:c>
      <x:c r="F14" s="14" t="str">
        <x:v>Yes — archive links in catalog</x:v>
      </x:c>
      <x:c r="G14" s="14" t="str">
        <x:v>Labour / jobs</x:v>
      </x:c>
      <x:c r="H14" s="14" t="str">
        <x:v>A1</x:v>
      </x:c>
    </x:row>
    <x:row r="15" ht="58" customHeight="1">
      <x:c r="A15" s="14" t="n">
        <x:v>3</x:v>
      </x:c>
      <x:c r="B15" s="14" t="str">
        <x:v>PBS Census 2023 detailed tables</x:v>
      </x:c>
      <x:c r="C15" s="14" t="str">
        <x:v>Population, sex/age, literacy, internet, amenities and locality/district baselines</x:v>
      </x:c>
      <x:c r="D15" s="14" t="str">
        <x:v>Large Excel table library + dashboard/GIS</x:v>
      </x:c>
      <x:c r="E15" s="14" t="str">
        <x:v>https://www.pbs.gov.pk/result-excel/</x:v>
      </x:c>
      <x:c r="F15" s="14" t="str">
        <x:v>Yes — table library</x:v>
      </x:c>
      <x:c r="G15" s="14" t="str">
        <x:v>Population / spatial</x:v>
      </x:c>
      <x:c r="H15" s="14" t="str">
        <x:v>A1</x:v>
      </x:c>
    </x:row>
    <x:row r="16" ht="58" customHeight="1">
      <x:c r="A16" s="14" t="n">
        <x:v>4</x:v>
      </x:c>
      <x:c r="B16" s="14" t="str">
        <x:v>PBS CPI / SPI / WPI</x:v>
      </x:c>
      <x:c r="C16" s="14" t="str">
        <x:v>Inflation and price movements at different frequencies and baskets</x:v>
      </x:c>
      <x:c r="D16" s="14" t="str">
        <x:v>Monthly/weekly releases and Excel annexures</x:v>
      </x:c>
      <x:c r="E16" s="14" t="str">
        <x:v>https://www.pbs.gov.pk/price-statistics/</x:v>
      </x:c>
      <x:c r="F16" s="14" t="str">
        <x:v>Yes — release-dependent</x:v>
      </x:c>
      <x:c r="G16" s="14" t="str">
        <x:v>Prices / inflation</x:v>
      </x:c>
      <x:c r="H16" s="14" t="str">
        <x:v>A1</x:v>
      </x:c>
    </x:row>
    <x:row r="17" ht="58" customHeight="1">
      <x:c r="A17" s="14" t="n">
        <x:v>5</x:v>
      </x:c>
      <x:c r="B17" s="14" t="str">
        <x:v>SBP EasyData</x:v>
      </x:c>
      <x:c r="C17" s="14" t="str">
        <x:v>Thousands of monetary, banking, external, fiscal and real-sector time series</x:v>
      </x:c>
      <x:c r="D17" s="14" t="str">
        <x:v>Interactive database / download / account-based tools</x:v>
      </x:c>
      <x:c r="E17" s="14" t="str">
        <x:v>https://easydata.sbp.org.pk/</x:v>
      </x:c>
      <x:c r="F17" s="14" t="str">
        <x:v>Series download; APIs/baskets may require sign-in</x:v>
      </x:c>
      <x:c r="G17" s="14" t="str">
        <x:v>Macroeconomics / finance</x:v>
      </x:c>
      <x:c r="H17" s="14" t="str">
        <x:v>A1</x:v>
      </x:c>
    </x:row>
    <x:row r="18" ht="58" customHeight="1">
      <x:c r="A18" s="14" t="n">
        <x:v>6</x:v>
      </x:c>
      <x:c r="B18" s="14" t="str">
        <x:v>PBS External Trade Statistics</x:v>
      </x:c>
      <x:c r="C18" s="14" t="str">
        <x:v>Commodity/partner-level exports and imports</x:v>
      </x:c>
      <x:c r="D18" s="14" t="str">
        <x:v>Monthly XLSX tables, summaries, historical series</x:v>
      </x:c>
      <x:c r="E18" s="14" t="str">
        <x:v>https://www.pbs.gov.pk/external-trade-statistics/</x:v>
      </x:c>
      <x:c r="F18" s="14" t="str">
        <x:v>Yes — Excel releases</x:v>
      </x:c>
      <x:c r="G18" s="14" t="str">
        <x:v>Trade / exports</x:v>
      </x:c>
      <x:c r="H18" s="14" t="str">
        <x:v>A1</x:v>
      </x:c>
    </x:row>
    <x:row r="19" ht="58" customHeight="1">
      <x:c r="A19" s="14" t="n">
        <x:v>7</x:v>
      </x:c>
      <x:c r="B19" s="14" t="str">
        <x:v>Pakistan Economic Survey 2025–26</x:v>
      </x:c>
      <x:c r="C19" s="14" t="str">
        <x:v>Cross-sector overview and statistical supplement</x:v>
      </x:c>
      <x:c r="D19" s="14" t="str">
        <x:v>PDF chapters, appendices and tables</x:v>
      </x:c>
      <x:c r="E19" s="14" t="str">
        <x:v>https://www.finance.gov.pk/survey_2026.html</x:v>
      </x:c>
      <x:c r="F19" s="14" t="str">
        <x:v>Yes — PDF</x:v>
      </x:c>
      <x:c r="G19" s="14" t="str">
        <x:v>Macroeconomics / social sectors</x:v>
      </x:c>
      <x:c r="H19" s="14" t="str">
        <x:v>A1</x:v>
      </x:c>
    </x:row>
    <x:row r="20" ht="58" customHeight="1">
      <x:c r="A20" s="14" t="n">
        <x:v>8</x:v>
      </x:c>
      <x:c r="B20" s="14" t="str">
        <x:v>PBS Census 2024 agriculture</x:v>
      </x:c>
      <x:c r="C20" s="14" t="str">
        <x:v>Farm structure, land and livestock dimensions; rural analysis</x:v>
      </x:c>
      <x:c r="D20" s="14" t="str">
        <x:v>Report PDF + official Excel tables</x:v>
      </x:c>
      <x:c r="E20" s="14" t="str">
        <x:v>https://www.pbs.gov.pk/agriculture-census/</x:v>
      </x:c>
      <x:c r="F20" s="14" t="str">
        <x:v>Yes — PDF/table index</x:v>
      </x:c>
      <x:c r="G20" s="14" t="str">
        <x:v>Agriculture / rural</x:v>
      </x:c>
      <x:c r="H20" s="14" t="str">
        <x:v>A1</x:v>
      </x:c>
    </x:row>
    <x:row r="21" ht="58" customHeight="1">
      <x:c r="A21" s="14" t="n">
        <x:v>9</x:v>
      </x:c>
      <x:c r="B21" s="14" t="str">
        <x:v>Pakistan Education Statistics 2023–24</x:v>
      </x:c>
      <x:c r="C21" s="14" t="str">
        <x:v>Enrollment, school access, education providers, teacher and finance indicators</x:v>
      </x:c>
      <x:c r="D21" s="14" t="str">
        <x:v>Annual report + provincial assessment files</x:v>
      </x:c>
      <x:c r="E21" s="14" t="str">
        <x:v>https://pie.gov.pk/Publications</x:v>
      </x:c>
      <x:c r="F21" s="14" t="str">
        <x:v>PDFs/reports; inspect table annexes</x:v>
      </x:c>
      <x:c r="G21" s="14" t="str">
        <x:v>Education</x:v>
      </x:c>
      <x:c r="H21" s="14" t="str">
        <x:v>A1</x:v>
      </x:c>
    </x:row>
    <x:row r="22" ht="58" customHeight="1">
      <x:c r="A22" s="14" t="n">
        <x:v>10</x:v>
      </x:c>
      <x:c r="B22" s="14" t="str">
        <x:v>World Bank Enterprise Survey 2022</x:v>
      </x:c>
      <x:c r="C22" s="14" t="str">
        <x:v>Firm-level constraints, access to finance, infrastructure and employment</x:v>
      </x:c>
      <x:c r="D22" s="14" t="str">
        <x:v>Survey microdata, questionnaire and metadata</x:v>
      </x:c>
      <x:c r="E22" s="14" t="str">
        <x:v>https://microdata.worldbank.org/catalog/6461</x:v>
      </x:c>
      <x:c r="F22" s="14" t="str">
        <x:v>Yes — data portal</x:v>
      </x:c>
      <x:c r="G22" s="14" t="str">
        <x:v>Businesses / jobs</x:v>
      </x:c>
      <x:c r="H22" s="14" t="str">
        <x:v>A2</x:v>
      </x:c>
    </x:row>
    <x:row r="23" ht="58" customHeight="1">
      <x:c r="A23" s="14" t="n">
        <x:v>11</x:v>
      </x:c>
      <x:c r="B23" s="14" t="str">
        <x:v>Global Findex 2025</x:v>
      </x:c>
      <x:c r="C23" s="14" t="str">
        <x:v>Digital payments, finance access, accounts, saving/borrowing and gender gaps</x:v>
      </x:c>
      <x:c r="D23" s="14" t="str">
        <x:v>Country data + microdata/downloads</x:v>
      </x:c>
      <x:c r="E23" s="14" t="str">
        <x:v>https://www.worldbank.org/en/publication/globalfindex/download-data</x:v>
      </x:c>
      <x:c r="F23" s="14" t="str">
        <x:v>Yes — download page</x:v>
      </x:c>
      <x:c r="G23" s="14" t="str">
        <x:v>Digital finance</x:v>
      </x:c>
      <x:c r="H23" s="14" t="str">
        <x:v>A2</x:v>
      </x:c>
    </x:row>
    <x:row r="24" ht="58" customHeight="1">
      <x:c r="A24" s="14" t="n">
        <x:v>12</x:v>
      </x:c>
      <x:c r="B24" s="14" t="str">
        <x:v>NIPS / DHS public data</x:v>
      </x:c>
      <x:c r="C24" s="14" t="str">
        <x:v>Maternal/child health, fertility, nutrition and household-level determinants</x:v>
      </x:c>
      <x:c r="D24" s="14" t="str">
        <x:v>Survey data, questionnaires and reports; access rules apply</x:v>
      </x:c>
      <x:c r="E24" s="14" t="str">
        <x:v>https://www.nips.org.pk/viewpublicdata</x:v>
      </x:c>
      <x:c r="F24" s="14" t="str">
        <x:v>Request/download depends on wave</x:v>
      </x:c>
      <x:c r="G24" s="14" t="str">
        <x:v>Health / population</x:v>
      </x:c>
      <x:c r="H24" s="14" t="str">
        <x:v>A1</x:v>
      </x:c>
    </x:row>
    <x:row r="25" ht="58" customHeight="1">
      <x:c r="A25" s="14" t="n">
        <x:v>13</x:v>
      </x:c>
      <x:c r="B25" s="14" t="str">
        <x:v>WHO/UNICEF JMP</x:v>
      </x:c>
      <x:c r="C25" s="14" t="str">
        <x:v>WASH indicators for households, schools and healthcare facilities</x:v>
      </x:c>
      <x:c r="D25" s="14" t="str">
        <x:v>Comparable indicator downloads, Excel/CSV and reports</x:v>
      </x:c>
      <x:c r="E25" s="14" t="str">
        <x:v>https://washdata.org/countries/pakistan</x:v>
      </x:c>
      <x:c r="F25" s="14" t="str">
        <x:v>Yes — portal downloads</x:v>
      </x:c>
      <x:c r="G25" s="14" t="str">
        <x:v>WASH / infrastructure</x:v>
      </x:c>
      <x:c r="H25" s="14" t="str">
        <x:v>A2</x:v>
      </x:c>
    </x:row>
    <x:row r="26" ht="58" customHeight="1">
      <x:c r="A26" s="14" t="n">
        <x:v>14</x:v>
      </x:c>
      <x:c r="B26" s="14" t="str">
        <x:v>World Bank WDI / API</x:v>
      </x:c>
      <x:c r="C26" s="14" t="str">
        <x:v>Comparable long-run economic, population, health and social indicators</x:v>
      </x:c>
      <x:c r="D26" s="14" t="str">
        <x:v>CSV/Excel/API</x:v>
      </x:c>
      <x:c r="E26" s="14" t="str">
        <x:v>https://data.worldbank.org/country/pakistan</x:v>
      </x:c>
      <x:c r="F26" s="14" t="str">
        <x:v>Yes — API and downloads</x:v>
      </x:c>
      <x:c r="G26" s="14" t="str">
        <x:v>Cross-country comparisons</x:v>
      </x:c>
      <x:c r="H26" s="14" t="str">
        <x:v>A2</x:v>
      </x:c>
    </x:row>
    <x:row r="27" ht="58" customHeight="1">
      <x:c r="A27" s="14" t="n">
        <x:v>15</x:v>
      </x:c>
      <x:c r="B27" s="14" t="str">
        <x:v>Data Darbar warehouse</x:v>
      </x:c>
      <x:c r="C27" s="14" t="str">
        <x:v>Fast bulk/query access across census, HIES/PSLM/LFS, trade, budget and SBP data</x:v>
      </x:c>
      <x:c r="D27" s="14" t="str">
        <x:v>DuckDB/Parquet + dataset pages</x:v>
      </x:c>
      <x:c r="E27" s="14" t="str">
        <x:v>https://darbar.adaad.org/datasets/</x:v>
      </x:c>
      <x:c r="F27" s="14" t="str">
        <x:v>Yes — catalog</x:v>
      </x:c>
      <x:c r="G27" s="14" t="str">
        <x:v>Exploratory analysis / data joining</x:v>
      </x:c>
      <x:c r="H27" s="14" t="str">
        <x:v>B</x:v>
      </x:c>
    </x:row>
    <x:row r="29" ht="24" customHeight="1">
      <x:c r="A29" s="31" t="str">
        <x:v>Credibility grades and interpretation rules</x:v>
      </x:c>
      <x:c r="B29" s="31"/>
      <x:c r="C29" s="31"/>
      <x:c r="D29" s="31"/>
      <x:c r="E29" s="31"/>
      <x:c r="F29" s="31"/>
      <x:c r="G29" s="31"/>
      <x:c r="H29" s="31"/>
    </x:row>
    <x:row r="30" ht="42" customHeight="1">
      <x:c r="A30" s="48" t="str">
        <x:v>A1 — primary official</x:v>
      </x:c>
      <x:c r="B30" s="84" t="str">
        <x:v>National statistical office, regulator, central bank, responsible ministry, or official administrative dataset origin.</x:v>
      </x:c>
      <x:c r="D30" s="59" t="str">
        <x:v>A grade indicates the source type and typical role, not a guarantee that every number is correct. A source may publish revised series, model-based estimates, incomplete geographic coverage or data that cannot legally be redistributed. For each file, preserve its questionnaire/codebook, year, reference period, units, weights, source citation, access conditions and the original unedited file. This catalog was assembled from public catalogues and source pages; links and availability can change.</x:v>
      </x:c>
      <x:c r="E30" s="59"/>
      <x:c r="F30" s="59"/>
      <x:c r="G30" s="59"/>
      <x:c r="H30" s="59"/>
    </x:row>
    <x:row r="31" ht="42" customHeight="1">
      <x:c r="A31" s="48" t="str">
        <x:v>A2 — established international / academic</x:v>
      </x:c>
      <x:c r="B31" s="84" t="str">
        <x:v>Major international institution, documented survey programme, or academic database; may harmonize, estimate or model indicators.</x:v>
      </x:c>
      <x:c r="D31" s="59"/>
      <x:c r="E31" s="59"/>
      <x:c r="F31" s="59"/>
      <x:c r="G31" s="59"/>
      <x:c r="H31" s="59"/>
    </x:row>
    <x:row r="32" ht="42" customHeight="1">
      <x:c r="A32" s="48" t="str">
        <x:v>B — research / specialist / curated</x:v>
      </x:c>
      <x:c r="B32" s="84" t="str">
        <x:v>Think tank, university archive, survey firm or curated data platform; inspect study design, provenance and access terms.</x:v>
      </x:c>
      <x:c r="D32" s="59"/>
      <x:c r="E32" s="59"/>
      <x:c r="F32" s="59"/>
      <x:c r="G32" s="59"/>
      <x:c r="H32" s="59"/>
    </x:row>
    <x:row r="33" ht="42" customHeight="1">
      <x:c r="A33" s="48" t="str">
        <x:v>C — secondary / commercial media</x:v>
      </x:c>
      <x:c r="B33" s="84" t="str">
        <x:v>Useful for news and discovering leads; normally confirm substantive figures against original datasets.</x:v>
      </x:c>
      <x:c r="D33" s="59"/>
      <x:c r="E33" s="59"/>
      <x:c r="F33" s="59"/>
      <x:c r="G33" s="59"/>
      <x:c r="H33" s="59"/>
    </x:row>
  </x:sheetData>
  <x:mergeCells>
    <x:mergeCell ref="A1:H1"/>
    <x:mergeCell ref="A2:H2"/>
    <x:mergeCell ref="D4:H4"/>
    <x:mergeCell ref="F5:H9"/>
    <x:mergeCell ref="A11:H11"/>
    <x:mergeCell ref="A29:H29"/>
    <x:mergeCell ref="D30:H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4" ySplit="1" topLeftCell="E2" activePane="bottomRight" state="frozen"/>
    </x:sheetView>
  </x:sheetViews>
  <x:sheetFormatPr defaultRowHeight="15"/>
  <x:cols>
    <x:col min="1" max="1" width="12" hidden="0" customWidth="1"/>
    <x:col min="2" max="2" width="8" hidden="0" customWidth="1"/>
    <x:col min="3" max="3" width="25" hidden="0" customWidth="1"/>
    <x:col min="4" max="4" width="42" hidden="0" customWidth="1"/>
    <x:col min="5" max="5" width="28" hidden="0" customWidth="1"/>
    <x:col min="6" max="6" width="34" hidden="0" customWidth="1"/>
    <x:col min="7" max="7" width="48" hidden="0" customWidth="1"/>
    <x:col min="8" max="8" width="48" hidden="0" customWidth="1"/>
    <x:col min="9" max="9" width="25" hidden="0" customWidth="1"/>
    <x:col min="10" max="10" width="30" hidden="0" customWidth="1"/>
    <x:col min="11" max="11" width="44" hidden="0" customWidth="1"/>
    <x:col min="12" max="12" width="48" hidden="0" customWidth="1"/>
    <x:col min="13" max="13" width="25" hidden="0" customWidth="1"/>
    <x:col min="14" max="14" width="14" hidden="0" customWidth="1"/>
    <x:col min="15" max="15" width="19" hidden="0" customWidth="1"/>
    <x:col min="16" max="16" width="16" hidden="0" customWidth="1"/>
  </x:cols>
  <x:sheetData>
    <x:row r="1" ht="34" customHeight="1">
      <x:c r="A1" s="6" t="str">
        <x:v>Resource ID</x:v>
      </x:c>
      <x:c r="B1" s="6" t="str">
        <x:v>Grade</x:v>
      </x:c>
      <x:c r="C1" s="6" t="str">
        <x:v>Topic / Category</x:v>
      </x:c>
      <x:c r="D1" s="6" t="str">
        <x:v>Resource / dataset</x:v>
      </x:c>
      <x:c r="E1" s="6" t="str">
        <x:v>Data owner / publisher</x:v>
      </x:c>
      <x:c r="F1" s="6" t="str">
        <x:v>Landing page</x:v>
      </x:c>
      <x:c r="G1" s="6" t="str">
        <x:v>Direct file URL(s) / acquisition link</x:v>
      </x:c>
      <x:c r="H1" s="6" t="str">
        <x:v>Formats &amp; access mode</x:v>
      </x:c>
      <x:c r="I1" s="6" t="str">
        <x:v>Period / coverage</x:v>
      </x:c>
      <x:c r="J1" s="6" t="str">
        <x:v>Geographic detail</x:v>
      </x:c>
      <x:c r="K1" s="6" t="str">
        <x:v>Research uses / variables</x:v>
      </x:c>
      <x:c r="L1" s="6" t="str">
        <x:v>Caveats / access / quality notes</x:v>
      </x:c>
      <x:c r="M1" s="6" t="str">
        <x:v>Verification note</x:v>
      </x:c>
      <x:c r="N1" s="6" t="str">
        <x:v>Suggested priority</x:v>
      </x:c>
      <x:c r="O1" s="6" t="str">
        <x:v>Acquisition status</x:v>
      </x:c>
      <x:c r="P1" s="5"/>
    </x:row>
    <x:row r="2" ht="62" customHeight="1">
      <x:c r="A2" s="14" t="str">
        <x:v>PKD-001</x:v>
      </x:c>
      <x:c r="B2" s="14" t="str">
        <x:v>A1</x:v>
      </x:c>
      <x:c r="C2" s="14" t="str">
        <x:v>Agriculture / Crops</x:v>
      </x:c>
      <x:c r="D2" s="14" t="str">
        <x:v>PBS agriculture statistics portal</x:v>
      </x:c>
      <x:c r="E2" s="14" t="str">
        <x:v>PBS</x:v>
      </x:c>
      <x:c r="F2" s="14" t="str">
        <x:v>https://www.pbs.gov.pk/</x:v>
      </x:c>
      <x:c r="G2" s="14" t="str"/>
      <x:c r="H2" s="14" t="str">
        <x:v>Statistical releases, tables and agricultural publications from the PBS statistics menu</x:v>
      </x:c>
      <x:c r="I2" s="14" t="str">
        <x:v>Periodic crop, livestock and agricultural series; latest release varies</x:v>
      </x:c>
      <x:c r="J2" s="14" t="str">
        <x:v>National/provincial depending on series</x:v>
      </x:c>
      <x:c r="K2" s="14" t="str">
        <x:v>Crop output, land use, yields and agriculture's contribution to production</x:v>
      </x:c>
      <x:c r="L2" s="14" t="str">
        <x:v>Where relevant compare with Ministry of National Food Security and provincial agriculture departments.</x:v>
      </x:c>
      <x:c r="M2" s="14" t="str">
        <x:v>Official page/catalog observed</x:v>
      </x:c>
      <x:c r="N2" s="14" t="str">
        <x:v>P2</x:v>
      </x:c>
      <x:c r="O2" s="18" t="str">
        <x:v>Not started</x:v>
      </x:c>
      <x:c r="P2" s="96"/>
    </x:row>
    <x:row r="3" ht="62" customHeight="1">
      <x:c r="A3" s="14" t="str">
        <x:v>PKD-002</x:v>
      </x:c>
      <x:c r="B3" s="14" t="str">
        <x:v>A1</x:v>
      </x:c>
      <x:c r="C3" s="14" t="str">
        <x:v>Agriculture / Land</x:v>
      </x:c>
      <x:c r="D3" s="14" t="str">
        <x:v>Agricultural Census 2024 report and national Excel tables</x:v>
      </x:c>
      <x:c r="E3" s="14" t="str">
        <x:v>PBS / Agricultural Census Wing</x:v>
      </x:c>
      <x:c r="F3" s="14" t="str">
        <x:v>https://www.pbs.gov.pk/agriculture-census/</x:v>
      </x:c>
      <x:c r="G3" s="14" t="str">
        <x:v>Country report PDF: https://www.pbs.gov.pk/wp-content/uploads/2020/07/IAC-Country-Report-02-06-2026-2.pdf
Official table index: https://www.pbs.gov.pk/agriculture-census/</x:v>
      </x:c>
      <x:c r="H3" s="14" t="str">
        <x:v>Country report PDF, national Excel tables, historic table directory</x:v>
      </x:c>
      <x:c r="I3" s="14" t="str">
        <x:v>2024; historic agricultural census tables also listed</x:v>
      </x:c>
      <x:c r="J3" s="14" t="str">
        <x:v>National/provincial and available sub-provincial levels</x:v>
      </x:c>
      <x:c r="K3" s="14" t="str">
        <x:v>Farm size, land use/holdings, agricultural structure, crops/livestock-related ownership and mechanization context</x:v>
      </x:c>
      <x:c r="L3" s="14" t="str">
        <x:v>Distinguish full-count census variables from parameters collected on sample basis; use table notes. The report and tables have different levels of geographic detail; examine table-specific notes about full enumeration versus sample estimates.</x:v>
      </x:c>
      <x:c r="M3" s="14" t="str">
        <x:v>Official page/catalog observed</x:v>
      </x:c>
      <x:c r="N3" s="14" t="str">
        <x:v>P1</x:v>
      </x:c>
      <x:c r="O3" s="18" t="str">
        <x:v>Not started</x:v>
      </x:c>
      <x:c r="P3" s="96"/>
    </x:row>
    <x:row r="4" ht="62" customHeight="1">
      <x:c r="A4" s="14" t="str">
        <x:v>PKD-003</x:v>
      </x:c>
      <x:c r="B4" s="14" t="str">
        <x:v>A1</x:v>
      </x:c>
      <x:c r="C4" s="14" t="str">
        <x:v>Agriculture / Research</x:v>
      </x:c>
      <x:c r="D4" s="14" t="str">
        <x:v>Pakistan Agricultural Research Council research and agricultural publications</x:v>
      </x:c>
      <x:c r="E4" s="14" t="str">
        <x:v>PARC</x:v>
      </x:c>
      <x:c r="F4" s="14" t="str">
        <x:v>https://parc.gov.pk/</x:v>
      </x:c>
      <x:c r="G4" s="14" t="str"/>
      <x:c r="H4" s="14" t="str">
        <x:v>Scientific reports, crop studies, research papers and technical publications</x:v>
      </x:c>
      <x:c r="I4" s="14" t="str">
        <x:v>Periodic and study-specific</x:v>
      </x:c>
      <x:c r="J4" s="14" t="str">
        <x:v>National, agro-ecological region or experimental site</x:v>
      </x:c>
      <x:c r="K4" s="14" t="str">
        <x:v>Crop yields, crop management, livestock, soil/water, climate adaptation and productivity research</x:v>
      </x:c>
      <x:c r="L4" s="14" t="str">
        <x:v>Research-trial results may not represent national farm conditions; assess sampling, sites and external validity.</x:v>
      </x:c>
      <x:c r="M4" s="14" t="str">
        <x:v>Official page/catalog observed</x:v>
      </x:c>
      <x:c r="N4" s="14" t="str">
        <x:v>P2</x:v>
      </x:c>
      <x:c r="O4" s="18" t="str">
        <x:v>Not started</x:v>
      </x:c>
      <x:c r="P4" s="96"/>
    </x:row>
    <x:row r="5" ht="62" customHeight="1">
      <x:c r="A5" s="14" t="str">
        <x:v>PKD-004</x:v>
      </x:c>
      <x:c r="B5" s="14" t="str">
        <x:v>A1</x:v>
      </x:c>
      <x:c r="C5" s="14" t="str">
        <x:v>Audit / Accountability</x:v>
      </x:c>
      <x:c r="D5" s="14" t="str">
        <x:v>Auditor-General of Pakistan audit reports</x:v>
      </x:c>
      <x:c r="E5" s="14" t="str">
        <x:v>Auditor-General of Pakistan</x:v>
      </x:c>
      <x:c r="F5" s="14" t="str">
        <x:v>https://agp.gov.pk/</x:v>
      </x:c>
      <x:c r="G5" s="14" t="str"/>
      <x:c r="H5" s="14" t="str">
        <x:v>Audit reports, PDFs, audit observations and department-wise findings</x:v>
      </x:c>
      <x:c r="I5" s="14" t="str">
        <x:v>Annual and special reports; report years vary</x:v>
      </x:c>
      <x:c r="J5" s="14" t="str">
        <x:v>Federal/provincial entities as covered by specific audit</x:v>
      </x:c>
      <x:c r="K5" s="14" t="str">
        <x:v>Public expenditure leakages, compliance, arrears, irregularities and programme implementation</x:v>
      </x:c>
      <x:c r="L5" s="14" t="str">
        <x:v>An audit observation is not necessarily a final finding of criminal wrongdoing; read response/reconciliation sections.</x:v>
      </x:c>
      <x:c r="M5" s="14" t="str">
        <x:v>Official page/catalog observed</x:v>
      </x:c>
      <x:c r="N5" s="14" t="str">
        <x:v>P2</x:v>
      </x:c>
      <x:c r="O5" s="18" t="str">
        <x:v>Not started</x:v>
      </x:c>
      <x:c r="P5" s="96"/>
    </x:row>
    <x:row r="6" ht="62" customHeight="1">
      <x:c r="A6" s="14" t="str">
        <x:v>PKD-005</x:v>
      </x:c>
      <x:c r="B6" s="14" t="str">
        <x:v>A1</x:v>
      </x:c>
      <x:c r="C6" s="14" t="str">
        <x:v>Business / Firms / Jobs</x:v>
      </x:c>
      <x:c r="D6" s="14" t="str">
        <x:v>Economic Census 2023: establishments and workforce tables</x:v>
      </x:c>
      <x:c r="E6" s="14" t="str">
        <x:v>PBS</x:v>
      </x:c>
      <x:c r="F6" s="14" t="str">
        <x:v>https://www.pbs.gov.pk/pakistan-bureau-of-statistics-economic-statistics-production/</x:v>
      </x:c>
      <x:c r="G6" s="14" t="str">
        <x:v>Official results/table landing page: https://www.pbs.gov.pk/pakistan-bureau-of-statistics-economic-statistics-production/</x:v>
      </x:c>
      <x:c r="H6" s="14" t="str">
        <x:v>Excel and PDF tables; key findings report</x:v>
      </x:c>
      <x:c r="I6" s="14" t="str">
        <x:v>2023</x:v>
      </x:c>
      <x:c r="J6" s="14" t="str">
        <x:v>National, province and district; industry (PSIC), establishment type and employment category</x:v>
      </x:c>
      <x:c r="K6" s="14" t="str">
        <x:v>Formal/nonfarm establishment distribution, local business density, enterprise size, sector composition and workforce mapping</x:v>
      </x:c>
      <x:c r="L6" s="14" t="str">
        <x:v>Counts of establishments are not the same as firm output, turnover, productivity or current job vacancies. The page links to province/district and industry/employment-category tables; use current census definitions for establishment and employment counts.</x:v>
      </x:c>
      <x:c r="M6" s="14" t="str">
        <x:v>Official page/catalog observed</x:v>
      </x:c>
      <x:c r="N6" s="14" t="str">
        <x:v>P1</x:v>
      </x:c>
      <x:c r="O6" s="18" t="str">
        <x:v>Not started</x:v>
      </x:c>
      <x:c r="P6" s="96"/>
    </x:row>
    <x:row r="7" ht="62" customHeight="1">
      <x:c r="A7" s="14" t="str">
        <x:v>PKD-006</x:v>
      </x:c>
      <x:c r="B7" s="14" t="str">
        <x:v>A1</x:v>
      </x:c>
      <x:c r="C7" s="14" t="str">
        <x:v>Child / Gender / Health</x:v>
      </x:c>
      <x:c r="D7" s="14" t="str">
        <x:v>Balochistan MICS and other provincial household surveys</x:v>
      </x:c>
      <x:c r="E7" s="14" t="str">
        <x:v>Bureau of Statistics Balochistan / UNICEF</x:v>
      </x:c>
      <x:c r="F7" s="14" t="str">
        <x:v>https://bospnd.balochistan.gov.pk/</x:v>
      </x:c>
      <x:c r="G7" s="14" t="str"/>
      <x:c r="H7" s="14" t="str">
        <x:v>PDF survey reports and source materials; raw data access varies</x:v>
      </x:c>
      <x:c r="I7" s="14" t="str">
        <x:v>Multiple survey years; portal currently lists a legacy MICS 2010 report</x:v>
      </x:c>
      <x:c r="J7" s="14" t="str">
        <x:v>Balochistan</x:v>
      </x:c>
      <x:c r="K7" s="14" t="str">
        <x:v>Women/child health, education, WASH, nutrition and household deprivation</x:v>
      </x:c>
      <x:c r="L7" s="14" t="str">
        <x:v>The available report is old; treat as historical baseline and use the latest compatible household survey for current estimates.</x:v>
      </x:c>
      <x:c r="M7" s="14" t="str">
        <x:v>Official page/catalog observed</x:v>
      </x:c>
      <x:c r="N7" s="14" t="str">
        <x:v>P1</x:v>
      </x:c>
      <x:c r="O7" s="18" t="str">
        <x:v>Not started</x:v>
      </x:c>
      <x:c r="P7" s="96"/>
    </x:row>
    <x:row r="8" ht="62" customHeight="1">
      <x:c r="A8" s="14" t="str">
        <x:v>PKD-007</x:v>
      </x:c>
      <x:c r="B8" s="14" t="str">
        <x:v>A1</x:v>
      </x:c>
      <x:c r="C8" s="14" t="str">
        <x:v>Child / Gender / Health</x:v>
      </x:c>
      <x:c r="D8" s="14" t="str">
        <x:v>KP Multiple Indicator Cluster Survey microdata</x:v>
      </x:c>
      <x:c r="E8" s="14" t="str">
        <x:v>Bureau of Statistics KP / UNICEF</x:v>
      </x:c>
      <x:c r="F8" s="14" t="str">
        <x:v>https://kpbos.gov.pk/</x:v>
      </x:c>
      <x:c r="G8" s="14" t="str"/>
      <x:c r="H8" s="14" t="str">
        <x:v>Microdata, questionnaires, technical reports and survey findings</x:v>
      </x:c>
      <x:c r="I8" s="14" t="str">
        <x:v>MICS round(s) listed by official portal; check the survey-specific page</x:v>
      </x:c>
      <x:c r="J8" s="14" t="str">
        <x:v>KP district / urban-rural domains as documented</x:v>
      </x:c>
      <x:c r="K8" s="14" t="str">
        <x:v>Child and maternal health, education, household deprivation, nutrition, WASH and gender gaps</x:v>
      </x:c>
      <x:c r="L8" s="14" t="str">
        <x:v>Use the survey-specific report for exact year and sampling frame; do not merge MICS waves without harmonization.</x:v>
      </x:c>
      <x:c r="M8" s="14" t="str">
        <x:v>Official page/catalog observed</x:v>
      </x:c>
      <x:c r="N8" s="14" t="str">
        <x:v>P1</x:v>
      </x:c>
      <x:c r="O8" s="18" t="str">
        <x:v>Not started</x:v>
      </x:c>
      <x:c r="P8" s="96"/>
    </x:row>
    <x:row r="9" ht="62" customHeight="1">
      <x:c r="A9" s="14" t="str">
        <x:v>PKD-008</x:v>
      </x:c>
      <x:c r="B9" s="14" t="str">
        <x:v>A1</x:v>
      </x:c>
      <x:c r="C9" s="14" t="str">
        <x:v>Child / Gender / Health</x:v>
      </x:c>
      <x:c r="D9" s="14" t="str">
        <x:v>Punjab Multiple Indicator Cluster Survey (MICS) 2024 and older waves</x:v>
      </x:c>
      <x:c r="E9" s="14" t="str">
        <x:v>Bureau of Statistics Punjab / UNICEF</x:v>
      </x:c>
      <x:c r="F9" s="14" t="str">
        <x:v>https://bos.punjab.gov.pk/index.php/mics</x:v>
      </x:c>
      <x:c r="G9" s="14" t="str">
        <x:v>https://mics.unicef.org/sites/mics/files/2025-01/Pakistan%202024%20MICS%20%28Punjab%29%20KFR.pdf</x:v>
      </x:c>
      <x:c r="H9" s="14" t="str">
        <x:v>Key findings PDF; survey reports; microdata availability via official catalogue/MICS process</x:v>
      </x:c>
      <x:c r="I9" s="14" t="str">
        <x:v>2024; prior waves 2017–18, 2014, 2011, 2007–08, 2003–04</x:v>
      </x:c>
      <x:c r="J9" s="14" t="str">
        <x:v>Punjab; district-level domains depending on MICS wave</x:v>
      </x:c>
      <x:c r="K9" s="14" t="str">
        <x:v>Women/child health, education, nutrition, child protection, WASH and household deprivations</x:v>
      </x:c>
      <x:c r="L9" s="14" t="str">
        <x:v>The direct file listed is a key-findings report, not raw microdata; look for full report and microdata separately.</x:v>
      </x:c>
      <x:c r="M9" s="14" t="str">
        <x:v>Official page/catalog observed</x:v>
      </x:c>
      <x:c r="N9" s="14" t="str">
        <x:v>P1</x:v>
      </x:c>
      <x:c r="O9" s="18" t="str">
        <x:v>Not started</x:v>
      </x:c>
      <x:c r="P9" s="96"/>
    </x:row>
    <x:row r="10" ht="62" customHeight="1">
      <x:c r="A10" s="14" t="str">
        <x:v>PKD-009</x:v>
      </x:c>
      <x:c r="B10" s="14" t="str">
        <x:v>A1</x:v>
      </x:c>
      <x:c r="C10" s="14" t="str">
        <x:v>Child / Gender / Health</x:v>
      </x:c>
      <x:c r="D10" s="14" t="str">
        <x:v>Sindh MICS 2018–19 report</x:v>
      </x:c>
      <x:c r="E10" s="14" t="str">
        <x:v>Sindh Bureau of Statistics / UNICEF</x:v>
      </x:c>
      <x:c r="F10" s="14" t="str">
        <x:v>https://www.unicef.org/pakistan/documents/sindh-multiple-indicator-cluster-survey-2018-19</x:v>
      </x:c>
      <x:c r="G10" s="14" t="str"/>
      <x:c r="H10" s="14" t="str">
        <x:v>PDF report and linked survey materials</x:v>
      </x:c>
      <x:c r="I10" s="14" t="str">
        <x:v>2018–19</x:v>
      </x:c>
      <x:c r="J10" s="14" t="str">
        <x:v>Sindh, district domains described in technical report</x:v>
      </x:c>
      <x:c r="K10" s="14" t="str">
        <x:v>Child welfare, maternal health, education, WASH, nutrition, gender and household services</x:v>
      </x:c>
      <x:c r="L10" s="14" t="str">
        <x:v>Full raw microdata may be separate from the report; check MICS data-access rules.</x:v>
      </x:c>
      <x:c r="M10" s="14" t="str">
        <x:v>Official page/catalog observed</x:v>
      </x:c>
      <x:c r="N10" s="14" t="str">
        <x:v>P1</x:v>
      </x:c>
      <x:c r="O10" s="18" t="str">
        <x:v>Not started</x:v>
      </x:c>
      <x:c r="P10" s="96"/>
    </x:row>
    <x:row r="11" ht="62" customHeight="1">
      <x:c r="A11" s="14" t="str">
        <x:v>PKD-010</x:v>
      </x:c>
      <x:c r="B11" s="14" t="str">
        <x:v>A1</x:v>
      </x:c>
      <x:c r="C11" s="14" t="str">
        <x:v>Child labour</x:v>
      </x:c>
      <x:c r="D11" s="14" t="str">
        <x:v>Punjab Child Labour Survey 2019–20</x:v>
      </x:c>
      <x:c r="E11" s="14" t="str">
        <x:v>Bureau of Statistics Punjab</x:v>
      </x:c>
      <x:c r="F11" s="14" t="str">
        <x:v>https://bos.punjab.gov.pk/dataset</x:v>
      </x:c>
      <x:c r="G11" s="14" t="str"/>
      <x:c r="H11" s="14" t="str">
        <x:v>Survey report; data/microdata availability as shown in catalogue</x:v>
      </x:c>
      <x:c r="I11" s="14" t="str">
        <x:v>2019–20</x:v>
      </x:c>
      <x:c r="J11" s="14" t="str">
        <x:v>Punjab</x:v>
      </x:c>
      <x:c r="K11" s="14" t="str">
        <x:v>Child labour prevalence, work type, schooling, age/sex and related household factors</x:v>
      </x:c>
      <x:c r="L11" s="14" t="str">
        <x:v>Use definition of child labour in the survey, not generic child employment; verify any data access conditions.</x:v>
      </x:c>
      <x:c r="M11" s="14" t="str">
        <x:v>Official page/catalog observed</x:v>
      </x:c>
      <x:c r="N11" s="14" t="str">
        <x:v>P2</x:v>
      </x:c>
      <x:c r="O11" s="18" t="str">
        <x:v>Not started</x:v>
      </x:c>
      <x:c r="P11" s="96"/>
    </x:row>
    <x:row r="12" ht="62" customHeight="1">
      <x:c r="A12" s="14" t="str">
        <x:v>PKD-011</x:v>
      </x:c>
      <x:c r="B12" s="14" t="str">
        <x:v>A1</x:v>
      </x:c>
      <x:c r="C12" s="14" t="str">
        <x:v>Climate / Weather</x:v>
      </x:c>
      <x:c r="D12" s="14" t="str">
        <x:v>Pakistan Meteorological Department climate and station resources</x:v>
      </x:c>
      <x:c r="E12" s="14" t="str">
        <x:v>PMD</x:v>
      </x:c>
      <x:c r="F12" s="14" t="str">
        <x:v>https://weather.gov.pk/</x:v>
      </x:c>
      <x:c r="G12" s="14" t="str"/>
      <x:c r="H12" s="14" t="str">
        <x:v>Weather records, rainfall/climate reports, advisories and station observations as released</x:v>
      </x:c>
      <x:c r="I12" s="14" t="str">
        <x:v>Daily/monthly/seasonal depending on dataset</x:v>
      </x:c>
      <x:c r="J12" s="14" t="str">
        <x:v>Station/region and national summary</x:v>
      </x:c>
      <x:c r="K12" s="14" t="str">
        <x:v>Rainfall anomalies, heat, drought, crop exposure and links between weather and poverty/livelihoods</x:v>
      </x:c>
      <x:c r="L12" s="14" t="str">
        <x:v>Station coverage and data access vary; climate normals and daily observations are different products.</x:v>
      </x:c>
      <x:c r="M12" s="14" t="str">
        <x:v>Official page/catalog observed</x:v>
      </x:c>
      <x:c r="N12" s="14" t="str">
        <x:v>P2</x:v>
      </x:c>
      <x:c r="O12" s="18" t="str">
        <x:v>Not started</x:v>
      </x:c>
      <x:c r="P12" s="96"/>
    </x:row>
    <x:row r="13" ht="62" customHeight="1">
      <x:c r="A13" s="14" t="str">
        <x:v>PKD-012</x:v>
      </x:c>
      <x:c r="B13" s="14" t="str">
        <x:v>A1</x:v>
      </x:c>
      <x:c r="C13" s="14" t="str">
        <x:v>Corporate / Finance</x:v>
      </x:c>
      <x:c r="D13" s="14" t="str">
        <x:v>SECP data and statistics</x:v>
      </x:c>
      <x:c r="E13" s="14" t="str">
        <x:v>Securities and Exchange Commission of Pakistan</x:v>
      </x:c>
      <x:c r="F13" s="14" t="str">
        <x:v>https://www.secp.gov.pk/data-and-statistics/</x:v>
      </x:c>
      <x:c r="G13" s="14" t="str"/>
      <x:c r="H13" s="14" t="str">
        <x:v>Regulatory statistics, industry reports, annual reports and tables</x:v>
      </x:c>
      <x:c r="I13" s="14" t="str">
        <x:v>Periodic and annual</x:v>
      </x:c>
      <x:c r="J13" s="14" t="str">
        <x:v>Capital markets, insurance, regulated companies and corporate sectors</x:v>
      </x:c>
      <x:c r="K13" s="14" t="str">
        <x:v>Market structure, company registrations, non-bank finance and regulatory trends</x:v>
      </x:c>
      <x:c r="L13" s="14" t="str">
        <x:v>Coverage is limited to SECP-regulated domains and the tables actually published.</x:v>
      </x:c>
      <x:c r="M13" s="14" t="str">
        <x:v>Official page/catalog observed</x:v>
      </x:c>
      <x:c r="N13" s="14" t="str">
        <x:v>P2</x:v>
      </x:c>
      <x:c r="O13" s="18" t="str">
        <x:v>Not started</x:v>
      </x:c>
      <x:c r="P13" s="96"/>
    </x:row>
    <x:row r="14" ht="62" customHeight="1">
      <x:c r="A14" s="14" t="str">
        <x:v>PKD-013</x:v>
      </x:c>
      <x:c r="B14" s="14" t="str">
        <x:v>A1</x:v>
      </x:c>
      <x:c r="C14" s="14" t="str">
        <x:v>Digital economy / IT</x:v>
      </x:c>
      <x:c r="D14" s="14" t="str">
        <x:v>Pakistan Software Export Board industry information and publications</x:v>
      </x:c>
      <x:c r="E14" s="14" t="str">
        <x:v>PSEB</x:v>
      </x:c>
      <x:c r="F14" s="14" t="str">
        <x:v>https://www.pseb.org.pk/</x:v>
      </x:c>
      <x:c r="G14" s="14" t="str"/>
      <x:c r="H14" s="14" t="str">
        <x:v>IT-sector reports, industry programmes and export/skills publications where released</x:v>
      </x:c>
      <x:c r="I14" s="14" t="str">
        <x:v>Periodic</x:v>
      </x:c>
      <x:c r="J14" s="14" t="str">
        <x:v>National and sector-specific</x:v>
      </x:c>
      <x:c r="K14" s="14" t="str">
        <x:v>IT services/export trends, industry capacity, skill programmes and digital employment policy</x:v>
      </x:c>
      <x:c r="L14" s="14" t="str">
        <x:v>For export series use SBP/BOP source data and reconcile definitions with PSEB reports.</x:v>
      </x:c>
      <x:c r="M14" s="14" t="str">
        <x:v>Official page/catalog observed</x:v>
      </x:c>
      <x:c r="N14" s="14" t="str">
        <x:v>P2</x:v>
      </x:c>
      <x:c r="O14" s="18" t="str">
        <x:v>Not started</x:v>
      </x:c>
      <x:c r="P14" s="96"/>
    </x:row>
    <x:row r="15" ht="62" customHeight="1">
      <x:c r="A15" s="14" t="str">
        <x:v>PKD-014</x:v>
      </x:c>
      <x:c r="B15" s="14" t="str">
        <x:v>A1</x:v>
      </x:c>
      <x:c r="C15" s="14" t="str">
        <x:v>Disability / Inclusion</x:v>
      </x:c>
      <x:c r="D15" s="14" t="str">
        <x:v>PBS disability and functional-limitation statistics</x:v>
      </x:c>
      <x:c r="E15" s="14" t="str">
        <x:v>PBS</x:v>
      </x:c>
      <x:c r="F15" s="14" t="str">
        <x:v>https://www.pbs.gov.pk/disability-statistics-2/</x:v>
      </x:c>
      <x:c r="G15" s="14" t="str"/>
      <x:c r="H15" s="14" t="str">
        <x:v>Census tables and PDFs; links to NADRA administrative counts and historic survey tables</x:v>
      </x:c>
      <x:c r="I15" s="14" t="str">
        <x:v>Census 2023 plus selected older series</x:v>
      </x:c>
      <x:c r="J15" s="14" t="str">
        <x:v>National/provincial, rural/urban and age/sex categories in released tables</x:v>
      </x:c>
      <x:c r="K15" s="14" t="str">
        <x:v>Disability inclusion, access gaps, demographic profiles and service planning</x:v>
      </x:c>
      <x:c r="L15" s="14" t="str">
        <x:v>Census functional limitations may not be comparable with older disability definitions or registration counts.</x:v>
      </x:c>
      <x:c r="M15" s="14" t="str">
        <x:v>Official page/catalog observed</x:v>
      </x:c>
      <x:c r="N15" s="14" t="str">
        <x:v>P2</x:v>
      </x:c>
      <x:c r="O15" s="18" t="str">
        <x:v>Not started</x:v>
      </x:c>
      <x:c r="P15" s="96"/>
    </x:row>
    <x:row r="16" ht="62" customHeight="1">
      <x:c r="A16" s="14" t="str">
        <x:v>PKD-015</x:v>
      </x:c>
      <x:c r="B16" s="14" t="str">
        <x:v>A1</x:v>
      </x:c>
      <x:c r="C16" s="14" t="str">
        <x:v>Disaster / Public safety</x:v>
      </x:c>
      <x:c r="D16" s="14" t="str">
        <x:v>National Disaster Management Authority situation reports and risk publications</x:v>
      </x:c>
      <x:c r="E16" s="14" t="str">
        <x:v>NDMA</x:v>
      </x:c>
      <x:c r="F16" s="14" t="str">
        <x:v>https://ndma.gov.pk/</x:v>
      </x:c>
      <x:c r="G16" s="14" t="str"/>
      <x:c r="H16" s="14" t="str">
        <x:v>Situation reports, hazard/risk reports, maps, emergency updates and PDFs</x:v>
      </x:c>
      <x:c r="I16" s="14" t="str">
        <x:v>Event-driven and annual/seasonal reports</x:v>
      </x:c>
      <x:c r="J16" s="14" t="str">
        <x:v>National, province and affected district</x:v>
      </x:c>
      <x:c r="K16" s="14" t="str">
        <x:v>Flood/heat/disaster impact, affected population, loss estimates and preparedness planning</x:v>
      </x:c>
      <x:c r="L16" s="14" t="str">
        <x:v>Early impact figures may be provisional; separate affected people, displaced people, deaths and damage estimates.</x:v>
      </x:c>
      <x:c r="M16" s="14" t="str">
        <x:v>Official page/catalog observed</x:v>
      </x:c>
      <x:c r="N16" s="14" t="str">
        <x:v>P2</x:v>
      </x:c>
      <x:c r="O16" s="18" t="str">
        <x:v>Not started</x:v>
      </x:c>
      <x:c r="P16" s="96"/>
    </x:row>
    <x:row r="17" ht="62" customHeight="1">
      <x:c r="A17" s="14" t="str">
        <x:v>PKD-016</x:v>
      </x:c>
      <x:c r="B17" s="14" t="str">
        <x:v>A1</x:v>
      </x:c>
      <x:c r="C17" s="14" t="str">
        <x:v>Education / Higher education</x:v>
      </x:c>
      <x:c r="D17" s="14" t="str">
        <x:v>HEC Higher Education Statistics and university records</x:v>
      </x:c>
      <x:c r="E17" s="14" t="str">
        <x:v>Higher Education Commission Pakistan</x:v>
      </x:c>
      <x:c r="F17" s="14" t="str">
        <x:v>https://www.hec.gov.pk/english/universities/hes/Pages/default.aspx</x:v>
      </x:c>
      <x:c r="G17" s="14" t="str"/>
      <x:c r="H17" s="14" t="str">
        <x:v>Institutional statistics, annual reports and publications</x:v>
      </x:c>
      <x:c r="I17" s="14" t="str">
        <x:v>Academic years vary by table</x:v>
      </x:c>
      <x:c r="J17" s="14" t="str">
        <x:v>National, province, institution and programme where published</x:v>
      </x:c>
      <x:c r="K17" s="14" t="str">
        <x:v>University access, institutional distribution, enrolment, gender balance and higher-education capacity</x:v>
      </x:c>
      <x:c r="L17" s="14" t="str">
        <x:v>Check whether counts include public/private institutions, affiliated colleges and distance learning.</x:v>
      </x:c>
      <x:c r="M17" s="14" t="str">
        <x:v>Official page/catalog observed</x:v>
      </x:c>
      <x:c r="N17" s="14" t="str">
        <x:v>P2</x:v>
      </x:c>
      <x:c r="O17" s="18" t="str">
        <x:v>Not started</x:v>
      </x:c>
      <x:c r="P17" s="96"/>
    </x:row>
    <x:row r="18" ht="62" customHeight="1">
      <x:c r="A18" s="14" t="str">
        <x:v>PKD-017</x:v>
      </x:c>
      <x:c r="B18" s="14" t="str">
        <x:v>A1</x:v>
      </x:c>
      <x:c r="C18" s="14" t="str">
        <x:v>Education / Learning</x:v>
      </x:c>
      <x:c r="D18" s="14" t="str">
        <x:v>National Achievement Test (NAT) 2023 and LaNA linking study</x:v>
      </x:c>
      <x:c r="E18" s="14" t="str">
        <x:v>Pakistan Institute of Education</x:v>
      </x:c>
      <x:c r="F18" s="14" t="str">
        <x:v>https://pie.gov.pk/Publications</x:v>
      </x:c>
      <x:c r="G18" s="14" t="str"/>
      <x:c r="H18" s="14" t="str">
        <x:v>PDF reports and findings by province</x:v>
      </x:c>
      <x:c r="I18" s="14" t="str">
        <x:v>NAT 2023; LaNA-2023 linking results published 2025</x:v>
      </x:c>
      <x:c r="J18" s="14" t="str">
        <x:v>National/provincial; learning level and subject as reported</x:v>
      </x:c>
      <x:c r="K18" s="14" t="str">
        <x:v>Learning performance, learning poverty signals, subject gaps and provincial comparisons</x:v>
      </x:c>
      <x:c r="L18" s="14" t="str">
        <x:v>Assessment sample, grades, domains and scaling differ from enrollment statistics.</x:v>
      </x:c>
      <x:c r="M18" s="14" t="str">
        <x:v>Official page/catalog observed</x:v>
      </x:c>
      <x:c r="N18" s="14" t="str">
        <x:v>P2</x:v>
      </x:c>
      <x:c r="O18" s="18" t="str">
        <x:v>Not started</x:v>
      </x:c>
      <x:c r="P18" s="96"/>
    </x:row>
    <x:row r="19" ht="62" customHeight="1">
      <x:c r="A19" s="14" t="str">
        <x:v>PKD-018</x:v>
      </x:c>
      <x:c r="B19" s="14" t="str">
        <x:v>A1</x:v>
      </x:c>
      <x:c r="C19" s="14" t="str">
        <x:v>Education / Raw school records</x:v>
      </x:c>
      <x:c r="D19" s="14" t="str">
        <x:v>School census profiles and EMIS downloads</x:v>
      </x:c>
      <x:c r="E19" s="14" t="str">
        <x:v>Education Management Information System / relevant education authority</x:v>
      </x:c>
      <x:c r="F19" s="14" t="str">
        <x:v>https://emis.gob.pk/website/CensusProfiles.aspx</x:v>
      </x:c>
      <x:c r="G19" s="14" t="str">
        <x:v>School census profiles: https://emis.gob.pk/website/CensusProfiles.aspx</x:v>
      </x:c>
      <x:c r="H19" s="14" t="str">
        <x:v>Downloadable school-level/administrative profile files for listed school census years, including primary, middle, high/higher-secondary, student and HR profiles.</x:v>
      </x:c>
      <x:c r="I19" s="14" t="str">
        <x:v>Published profile years include 2019–20 and 2021–22 on the catalogue; newer waves may be listed elsewhere</x:v>
      </x:c>
      <x:c r="J19" s="14" t="str">
        <x:v>Administrative units / school profiles where provided</x:v>
      </x:c>
      <x:c r="K19" s="14" t="str">
        <x:v>School distribution, student enrolment, teacher staffing, school facilities and public education capacity</x:v>
      </x:c>
      <x:c r="L19" s="14" t="str">
        <x:v>Coverage and update cycle may be provincial or system-specific; do not treat this page as a uniform national census without confirming its jurisdiction.</x:v>
      </x:c>
      <x:c r="M19" s="14" t="str">
        <x:v>Official file catalogue observed</x:v>
      </x:c>
      <x:c r="N19" s="14" t="str">
        <x:v>P1</x:v>
      </x:c>
      <x:c r="O19" s="18" t="str">
        <x:v>Not started</x:v>
      </x:c>
      <x:c r="P19" s="96"/>
    </x:row>
    <x:row r="20" ht="62" customHeight="1">
      <x:c r="A20" s="14" t="str">
        <x:v>PKD-019</x:v>
      </x:c>
      <x:c r="B20" s="14" t="str">
        <x:v>A1</x:v>
      </x:c>
      <x:c r="C20" s="14" t="str">
        <x:v>Education / School administration</x:v>
      </x:c>
      <x:c r="D20" s="14" t="str">
        <x:v>School and student profiles / Education Management Information System (EMIS)</x:v>
      </x:c>
      <x:c r="E20" s="14" t="str">
        <x:v>EMIS portal / provincial education authorities</x:v>
      </x:c>
      <x:c r="F20" s="14" t="str">
        <x:v>https://www.emis.gob.pk/website/CensusProfiles.aspx</x:v>
      </x:c>
      <x:c r="G20" s="14" t="str"/>
      <x:c r="H20" s="14" t="str">
        <x:v>School-census profiles and downloadable tables by school level; forms and proformas</x:v>
      </x:c>
      <x:c r="I20" s="14" t="str">
        <x:v>School Census 2019–20 and profiles 2021–22 listed</x:v>
      </x:c>
      <x:c r="J20" s="14" t="str">
        <x:v>School-level / administrative reporting units covered by portal</x:v>
      </x:c>
      <x:c r="K20" s="14" t="str">
        <x:v>School facilities, student counts, staffing, school access and local service gaps</x:v>
      </x:c>
      <x:c r="L20" s="14" t="str">
        <x:v>This portal is a particular EMIS source; verify province, year, reporting coverage and whether a profile reflects updated school records.</x:v>
      </x:c>
      <x:c r="M20" s="14" t="str">
        <x:v>Official page/catalog observed</x:v>
      </x:c>
      <x:c r="N20" s="14" t="str">
        <x:v>P2</x:v>
      </x:c>
      <x:c r="O20" s="18" t="str">
        <x:v>Not started</x:v>
      </x:c>
      <x:c r="P20" s="96"/>
    </x:row>
    <x:row r="21" ht="62" customHeight="1">
      <x:c r="A21" s="14" t="str">
        <x:v>PKD-020</x:v>
      </x:c>
      <x:c r="B21" s="14" t="str">
        <x:v>A1</x:v>
      </x:c>
      <x:c r="C21" s="14" t="str">
        <x:v>Education / Schools</x:v>
      </x:c>
      <x:c r="D21" s="14" t="str">
        <x:v>Pakistan Education Statistics 2023–24 and archives</x:v>
      </x:c>
      <x:c r="E21" s="14" t="str">
        <x:v>Pakistan Institute of Education (PIE)</x:v>
      </x:c>
      <x:c r="F21" s="14" t="str">
        <x:v>https://pie.gov.pk/Publications</x:v>
      </x:c>
      <x:c r="G21" s="14" t="str"/>
      <x:c r="H21" s="14" t="str">
        <x:v>Annual PDF reports and tables; older annual report archive</x:v>
      </x:c>
      <x:c r="I21" s="14" t="str">
        <x:v>2023–24 latest listed report, plus prior years</x:v>
      </x:c>
      <x:c r="J21" s="14" t="str">
        <x:v>National, provincial, education level and school system</x:v>
      </x:c>
      <x:c r="K21" s="14" t="str">
        <x:v>Enrollment, out-of-school estimates, teachers, schools, gender gaps, education finance and SDG-4</x:v>
      </x:c>
      <x:c r="L21" s="14" t="str">
        <x:v>Administrative education statistics may omit unregistered/non-formal providers; check data year and source system.</x:v>
      </x:c>
      <x:c r="M21" s="14" t="str">
        <x:v>Official page/catalog observed</x:v>
      </x:c>
      <x:c r="N21" s="14" t="str">
        <x:v>P2</x:v>
      </x:c>
      <x:c r="O21" s="18" t="str">
        <x:v>Not started</x:v>
      </x:c>
      <x:c r="P21" s="96"/>
    </x:row>
    <x:row r="22" ht="62" customHeight="1">
      <x:c r="A22" s="14" t="str">
        <x:v>PKD-021</x:v>
      </x:c>
      <x:c r="B22" s="14" t="str">
        <x:v>A1</x:v>
      </x:c>
      <x:c r="C22" s="14" t="str">
        <x:v>Elections / Governance</x:v>
      </x:c>
      <x:c r="D22" s="14" t="str">
        <x:v>Election Commission of Pakistan election results and reports</x:v>
      </x:c>
      <x:c r="E22" s="14" t="str">
        <x:v>ECP</x:v>
      </x:c>
      <x:c r="F22" s="14" t="str">
        <x:v>https://ecp.gov.pk/</x:v>
      </x:c>
      <x:c r="G22" s="14" t="str"/>
      <x:c r="H22" s="14" t="str">
        <x:v>Constituency results, notices, election reports and documents</x:v>
      </x:c>
      <x:c r="I22" s="14" t="str">
        <x:v>Election-specific archives</x:v>
      </x:c>
      <x:c r="J22" s="14" t="str">
        <x:v>National, provincial, constituency and polling levels according to release</x:v>
      </x:c>
      <x:c r="K22" s="14" t="str">
        <x:v>Turnout, vote shares, competition, gender participation and electoral geography</x:v>
      </x:c>
      <x:c r="L22" s="14" t="str">
        <x:v>Check whether results are provisional, consolidated or final; boundaries shift across elections.</x:v>
      </x:c>
      <x:c r="M22" s="14" t="str">
        <x:v>Official page/catalog observed</x:v>
      </x:c>
      <x:c r="N22" s="14" t="str">
        <x:v>P2</x:v>
      </x:c>
      <x:c r="O22" s="18" t="str">
        <x:v>Not started</x:v>
      </x:c>
      <x:c r="P22" s="96"/>
    </x:row>
    <x:row r="23" ht="62" customHeight="1">
      <x:c r="A23" s="14" t="str">
        <x:v>PKD-022</x:v>
      </x:c>
      <x:c r="B23" s="14" t="str">
        <x:v>A1</x:v>
      </x:c>
      <x:c r="C23" s="14" t="str">
        <x:v>Energy / Fuel</x:v>
      </x:c>
      <x:c r="D23" s="14" t="str">
        <x:v>OGRA price notifications, reports and sector publications</x:v>
      </x:c>
      <x:c r="E23" s="14" t="str">
        <x:v>OGRA</x:v>
      </x:c>
      <x:c r="F23" s="14" t="str">
        <x:v>https://ogra.org.pk/</x:v>
      </x:c>
      <x:c r="G23" s="14" t="str"/>
      <x:c r="H23" s="14" t="str">
        <x:v>Official price notifications, reports and licensing/regulatory documents</x:v>
      </x:c>
      <x:c r="I23" s="14" t="str">
        <x:v>Periodic and notified-price dates</x:v>
      </x:c>
      <x:c r="J23" s="14" t="str">
        <x:v>National; oil, gas and regulated entities</x:v>
      </x:c>
      <x:c r="K23" s="14" t="str">
        <x:v>Fuel-price changes, gas tariffs, regulated sector costs and petroleum market structure</x:v>
      </x:c>
      <x:c r="L23" s="14" t="str">
        <x:v>A notified price is a regulated benchmark, not necessarily the price paid by every consumer after taxes/subsidies.</x:v>
      </x:c>
      <x:c r="M23" s="14" t="str">
        <x:v>Official page/catalog observed</x:v>
      </x:c>
      <x:c r="N23" s="14" t="str">
        <x:v>P2</x:v>
      </x:c>
      <x:c r="O23" s="18" t="str">
        <x:v>Not started</x:v>
      </x:c>
      <x:c r="P23" s="96"/>
    </x:row>
    <x:row r="24" ht="62" customHeight="1">
      <x:c r="A24" s="14" t="str">
        <x:v>PKD-023</x:v>
      </x:c>
      <x:c r="B24" s="14" t="str">
        <x:v>A1</x:v>
      </x:c>
      <x:c r="C24" s="14" t="str">
        <x:v>Energy / Mining</x:v>
      </x:c>
      <x:c r="D24" s="14" t="str">
        <x:v>PBS energy and mining statistics</x:v>
      </x:c>
      <x:c r="E24" s="14" t="str">
        <x:v>PBS</x:v>
      </x:c>
      <x:c r="F24" s="14" t="str">
        <x:v>https://www.pbs.gov.pk/</x:v>
      </x:c>
      <x:c r="G24" s="14" t="str"/>
      <x:c r="H24" s="14" t="str">
        <x:v>Statistical tables and publications</x:v>
      </x:c>
      <x:c r="I24" s="14" t="str">
        <x:v>Periodic/annual; series varies</x:v>
      </x:c>
      <x:c r="J24" s="14" t="str">
        <x:v>National and sectoral</x:v>
      </x:c>
      <x:c r="K24" s="14" t="str">
        <x:v>Energy supply/demand, mining activity and related economic indicators</x:v>
      </x:c>
      <x:c r="L24" s="14" t="str">
        <x:v>For regulatory details, cross-check NEPRA, OGRA and energy ministry records.</x:v>
      </x:c>
      <x:c r="M24" s="14" t="str">
        <x:v>Official page/catalog observed</x:v>
      </x:c>
      <x:c r="N24" s="14" t="str">
        <x:v>P2</x:v>
      </x:c>
      <x:c r="O24" s="18" t="str">
        <x:v>Not started</x:v>
      </x:c>
      <x:c r="P24" s="96"/>
    </x:row>
    <x:row r="25" ht="62" customHeight="1">
      <x:c r="A25" s="14" t="str">
        <x:v>PKD-024</x:v>
      </x:c>
      <x:c r="B25" s="14" t="str">
        <x:v>A1</x:v>
      </x:c>
      <x:c r="C25" s="14" t="str">
        <x:v>Financial markets</x:v>
      </x:c>
      <x:c r="D25" s="14" t="str">
        <x:v>Pakistan Stock Exchange Data Portal</x:v>
      </x:c>
      <x:c r="E25" s="14" t="str">
        <x:v>Pakistan Stock Exchange</x:v>
      </x:c>
      <x:c r="F25" s="14" t="str">
        <x:v>https://dps.psx.com.pk/</x:v>
      </x:c>
      <x:c r="G25" s="14" t="str"/>
      <x:c r="H25" s="14" t="str">
        <x:v>Interactive share prices, trading volumes, company profiles, disclosures and financial statements</x:v>
      </x:c>
      <x:c r="I25" s="14" t="str">
        <x:v>Daily market data and current listed-company records</x:v>
      </x:c>
      <x:c r="J25" s="14" t="str">
        <x:v>Exchange-listed companies and market indices</x:v>
      </x:c>
      <x:c r="K25" s="14" t="str">
        <x:v>Listed-company performance, market concentration, valuation and disclosure monitoring</x:v>
      </x:c>
      <x:c r="L25" s="14" t="str">
        <x:v>Price/financial history can depend on the product or data-access terms; market prices are not macroeconomic survey data.</x:v>
      </x:c>
      <x:c r="M25" s="14" t="str">
        <x:v>Official page/catalog observed</x:v>
      </x:c>
      <x:c r="N25" s="14" t="str">
        <x:v>P2</x:v>
      </x:c>
      <x:c r="O25" s="18" t="str">
        <x:v>Not started</x:v>
      </x:c>
      <x:c r="P25" s="96"/>
    </x:row>
    <x:row r="26" ht="62" customHeight="1">
      <x:c r="A26" s="14" t="str">
        <x:v>PKD-025</x:v>
      </x:c>
      <x:c r="B26" s="14" t="str">
        <x:v>A1</x:v>
      </x:c>
      <x:c r="C26" s="14" t="str">
        <x:v>Foreign assistance / Public finance</x:v>
      </x:c>
      <x:c r="D26" s="14" t="str">
        <x:v>Economic Affairs Division development assistance information</x:v>
      </x:c>
      <x:c r="E26" s="14" t="str">
        <x:v>Economic Affairs Division</x:v>
      </x:c>
      <x:c r="F26" s="14" t="str">
        <x:v>https://ead.gov.pk/</x:v>
      </x:c>
      <x:c r="G26" s="14" t="str"/>
      <x:c r="H26" s="14" t="str">
        <x:v>Official publications, project information, aid/loan summaries and financing documents</x:v>
      </x:c>
      <x:c r="I26" s="14" t="str">
        <x:v>Periodic; project and financing years vary</x:v>
      </x:c>
      <x:c r="J26" s="14" t="str">
        <x:v>National / project / financing partner</x:v>
      </x:c>
      <x:c r="K26" s="14" t="str">
        <x:v>Foreign aid/loan composition, development-finance dependence and donor concentration</x:v>
      </x:c>
      <x:c r="L26" s="14" t="str">
        <x:v>Commitments, disbursements and actual expenditures are distinct; don't treat them as interchangeable.</x:v>
      </x:c>
      <x:c r="M26" s="14" t="str">
        <x:v>Official page/catalog observed</x:v>
      </x:c>
      <x:c r="N26" s="14" t="str">
        <x:v>P2</x:v>
      </x:c>
      <x:c r="O26" s="18" t="str">
        <x:v>Not started</x:v>
      </x:c>
      <x:c r="P26" s="96"/>
    </x:row>
    <x:row r="27" ht="62" customHeight="1">
      <x:c r="A27" s="14" t="str">
        <x:v>PKD-026</x:v>
      </x:c>
      <x:c r="B27" s="14" t="str">
        <x:v>A1</x:v>
      </x:c>
      <x:c r="C27" s="14" t="str">
        <x:v>Gender / Women / Work</x:v>
      </x:c>
      <x:c r="D27" s="14" t="str">
        <x:v>Punjab Women's Economic and Social Well-being Survey 2017–18</x:v>
      </x:c>
      <x:c r="E27" s="14" t="str">
        <x:v>Bureau of Statistics Punjab</x:v>
      </x:c>
      <x:c r="F27" s="14" t="str">
        <x:v>https://bos.punjab.gov.pk/dataset</x:v>
      </x:c>
      <x:c r="G27" s="14" t="str"/>
      <x:c r="H27" s="14" t="str">
        <x:v>Survey report and listed microdata if released</x:v>
      </x:c>
      <x:c r="I27" s="14" t="str">
        <x:v>2017–18</x:v>
      </x:c>
      <x:c r="J27" s="14" t="str">
        <x:v>Punjab</x:v>
      </x:c>
      <x:c r="K27" s="14" t="str">
        <x:v>Women's economic participation, household bargaining, well-being and gender-specific constraints</x:v>
      </x:c>
      <x:c r="L27" s="14" t="str">
        <x:v>Check microdata availability and questionnaire; the survey is older and Punjab-specific.</x:v>
      </x:c>
      <x:c r="M27" s="14" t="str">
        <x:v>Official page/catalog observed</x:v>
      </x:c>
      <x:c r="N27" s="14" t="str">
        <x:v>P2</x:v>
      </x:c>
      <x:c r="O27" s="18" t="str">
        <x:v>Not started</x:v>
      </x:c>
      <x:c r="P27" s="96"/>
    </x:row>
    <x:row r="28" ht="62" customHeight="1">
      <x:c r="A28" s="14" t="str">
        <x:v>PKD-027</x:v>
      </x:c>
      <x:c r="B28" s="14" t="str">
        <x:v>A1</x:v>
      </x:c>
      <x:c r="C28" s="14" t="str">
        <x:v>Geospatial / Boundaries</x:v>
      </x:c>
      <x:c r="D28" s="14" t="str">
        <x:v>PBS GIS and administrative-unit tables</x:v>
      </x:c>
      <x:c r="E28" s="14" t="str">
        <x:v>PBS</x:v>
      </x:c>
      <x:c r="F28" s="14" t="str">
        <x:v>https://www.pbs.gov.pk/gis/</x:v>
      </x:c>
      <x:c r="G28" s="14" t="str"/>
      <x:c r="H28" s="14" t="str">
        <x:v>GIS information, administrative-unit lists, maps and links to census/PSLM/HIES reports</x:v>
      </x:c>
      <x:c r="I28" s="14" t="str">
        <x:v>Census 2023 and archived survey rounds</x:v>
      </x:c>
      <x:c r="J28" s="14" t="str">
        <x:v>National, province, division, district, tehsil, mauza and census areas according to release</x:v>
      </x:c>
      <x:c r="K28" s="14" t="str">
        <x:v>Create geographic joins, harmonize districts over time and map service coverage</x:v>
      </x:c>
      <x:c r="L28" s="14" t="str">
        <x:v>Availability of GIS boundary files varies; some maps may be visual references rather than open shapefiles.</x:v>
      </x:c>
      <x:c r="M28" s="14" t="str">
        <x:v>Official page/catalog observed</x:v>
      </x:c>
      <x:c r="N28" s="14" t="str">
        <x:v>P2</x:v>
      </x:c>
      <x:c r="O28" s="18" t="str">
        <x:v>Not started</x:v>
      </x:c>
      <x:c r="P28" s="96"/>
    </x:row>
    <x:row r="29" ht="62" customHeight="1">
      <x:c r="A29" s="14" t="str">
        <x:v>PKD-028</x:v>
      </x:c>
      <x:c r="B29" s="14" t="str">
        <x:v>A1</x:v>
      </x:c>
      <x:c r="C29" s="14" t="str">
        <x:v>Geospatial / Census</x:v>
      </x:c>
      <x:c r="D29" s="14" t="str">
        <x:v>Pakistan Spatial Insights: census mapping portal</x:v>
      </x:c>
      <x:c r="E29" s="14" t="str">
        <x:v>PBS</x:v>
      </x:c>
      <x:c r="F29" s="14" t="str">
        <x:v>https://psi.pbos.gov.pk/</x:v>
      </x:c>
      <x:c r="G29" s="14" t="str"/>
      <x:c r="H29" s="14" t="str">
        <x:v>Interactive GIS maps, boundary overlays and thematic maps</x:v>
      </x:c>
      <x:c r="I29" s="14" t="str">
        <x:v>Census 2023</x:v>
      </x:c>
      <x:c r="J29" s="14" t="str">
        <x:v>Districts, tehsils, assembly constituencies and lower-level areas as available</x:v>
      </x:c>
      <x:c r="K29" s="14" t="str">
        <x:v>Map spatial inequality, population density, road/rail overlays and geographic access to public services</x:v>
      </x:c>
      <x:c r="L29" s="14" t="str">
        <x:v>Confirm boundary vintage, coordinate system and whether a layer is downloadable before joining external data.</x:v>
      </x:c>
      <x:c r="M29" s="14" t="str">
        <x:v>Official page/catalog observed</x:v>
      </x:c>
      <x:c r="N29" s="14" t="str">
        <x:v>P2</x:v>
      </x:c>
      <x:c r="O29" s="18" t="str">
        <x:v>Not started</x:v>
      </x:c>
      <x:c r="P29" s="96"/>
    </x:row>
    <x:row r="30" ht="62" customHeight="1">
      <x:c r="A30" s="14" t="str">
        <x:v>PKD-029</x:v>
      </x:c>
      <x:c r="B30" s="14" t="str">
        <x:v>A1</x:v>
      </x:c>
      <x:c r="C30" s="14" t="str">
        <x:v>Health / Administration</x:v>
      </x:c>
      <x:c r="D30" s="14" t="str">
        <x:v>Ministry of National Health Services and health-sector publications</x:v>
      </x:c>
      <x:c r="E30" s="14" t="str">
        <x:v>NHSR&amp;C</x:v>
      </x:c>
      <x:c r="F30" s="14" t="str">
        <x:v>https://www.nhsrc.pk/</x:v>
      </x:c>
      <x:c r="G30" s="14" t="str">
        <x:v>National Digital Health &amp; Knowledge Hub: https://ndhh.nhsrc.pk/
Ministry portal: https://www.nhsrc.pk/</x:v>
      </x:c>
      <x:c r="H30" s="14" t="str">
        <x:v>Policy documents, health-sector reports, programme information and some statistics</x:v>
      </x:c>
      <x:c r="I30" s="14" t="str">
        <x:v>Periodic; coverage depends on report</x:v>
      </x:c>
      <x:c r="J30" s="14" t="str">
        <x:v>National and programme/area specific</x:v>
      </x:c>
      <x:c r="K30" s="14" t="str">
        <x:v>Health-system administration, programme coverage and sector indicators</x:v>
      </x:c>
      <x:c r="L30" s="14" t="str">
        <x:v>Portal is a ministry landing page, not one harmonized dataset; follow through to the specific programme/source. The hub aggregates system indicators, surveys, analytics and documents; verify whether a data stream is live, periodic, or a report-only series.</x:v>
      </x:c>
      <x:c r="M30" s="14" t="str">
        <x:v>Official page/catalog observed</x:v>
      </x:c>
      <x:c r="N30" s="14" t="str">
        <x:v>P2</x:v>
      </x:c>
      <x:c r="O30" s="18" t="str">
        <x:v>Not started</x:v>
      </x:c>
      <x:c r="P30" s="96"/>
    </x:row>
    <x:row r="31" ht="62" customHeight="1">
      <x:c r="A31" s="14" t="str">
        <x:v>PKD-030</x:v>
      </x:c>
      <x:c r="B31" s="14" t="str">
        <x:v>A1</x:v>
      </x:c>
      <x:c r="C31" s="14" t="str">
        <x:v>Health / Data portal</x:v>
      </x:c>
      <x:c r="D31" s="14" t="str">
        <x:v>National Digital Health &amp; Knowledge Hub (NDHH)</x:v>
      </x:c>
      <x:c r="E31" s="14" t="str">
        <x:v>Ministry of National Health Services / Pakistan health data partners</x:v>
      </x:c>
      <x:c r="F31" s="14" t="str">
        <x:v>https://ndhh.nhsrc.pk/</x:v>
      </x:c>
      <x:c r="G31" s="14" t="str">
        <x:v>Portal: https://ndhh.nhsrc.pk/</x:v>
      </x:c>
      <x:c r="H31" s="14" t="str">
        <x:v>Searchable hub of information systems, surveys, analytics, visualizations, health indicators and policy/research documents; some linked systems are live, others report-based.</x:v>
      </x:c>
      <x:c r="I31" s="14" t="str">
        <x:v>Current portal; individual source periods vary</x:v>
      </x:c>
      <x:c r="J31" s="14" t="str">
        <x:v>National and subnational depending on connected system</x:v>
      </x:c>
      <x:c r="K31" s="14" t="str">
        <x:v>Health systems, health financing, workforce, nutrition, essential services, disease surveillance, population, UHC/SDG3</x:v>
      </x:c>
      <x:c r="L31" s="14" t="str">
        <x:v>Aggregator, not one homogeneous dataset. Record the underlying source/system, refresh date, definitions and access terms for each indicator.</x:v>
      </x:c>
      <x:c r="M31" s="14" t="str">
        <x:v>Official portal observed</x:v>
      </x:c>
      <x:c r="N31" s="14" t="str">
        <x:v>P2</x:v>
      </x:c>
      <x:c r="O31" s="18" t="str">
        <x:v>Not started</x:v>
      </x:c>
      <x:c r="P31" s="96"/>
    </x:row>
    <x:row r="32" ht="62" customHeight="1">
      <x:c r="A32" s="14" t="str">
        <x:v>PKD-031</x:v>
      </x:c>
      <x:c r="B32" s="14" t="str">
        <x:v>A1</x:v>
      </x:c>
      <x:c r="C32" s="14" t="str">
        <x:v>Health / Maternal and child</x:v>
      </x:c>
      <x:c r="D32" s="14" t="str">
        <x:v>Pakistan Demographic and Health Survey historical survey waves</x:v>
      </x:c>
      <x:c r="E32" s="14" t="str">
        <x:v>National Institute of Population Studies / DHS Program</x:v>
      </x:c>
      <x:c r="F32" s="14" t="str">
        <x:v>https://www.nips.org.pk/viewpublicdata</x:v>
      </x:c>
      <x:c r="G32" s="14" t="str">
        <x:v>Public data catalogue: https://www.nips.org.pk/viewpublicdata
DHS Program: https://dhsprogram.com/</x:v>
      </x:c>
      <x:c r="H32" s="14" t="str">
        <x:v>Survey reports, questionnaires, technical documents and microdata for released waves; data access may require a short registration/request.</x:v>
      </x:c>
      <x:c r="I32" s="14" t="str">
        <x:v>Historical waves including 1990–91, 2006–07, 2012–13 and 2017–18; verify each record</x:v>
      </x:c>
      <x:c r="J32" s="14" t="str">
        <x:v>National/provincial and survey-design-specific subnational domains</x:v>
      </x:c>
      <x:c r="K32" s="14" t="str">
        <x:v>Fertility, family planning, maternal/child health, nutrition, mortality and household determinants</x:v>
      </x:c>
      <x:c r="L32" s="14" t="str">
        <x:v>Not a continuous annual series. Harmonize questionnaire changes, weights and sampling design when combining waves.</x:v>
      </x:c>
      <x:c r="M32" s="14" t="str">
        <x:v>Official public-data catalogue observed</x:v>
      </x:c>
      <x:c r="N32" s="14" t="str">
        <x:v>P2</x:v>
      </x:c>
      <x:c r="O32" s="18" t="str">
        <x:v>Not started</x:v>
      </x:c>
      <x:c r="P32" s="96"/>
    </x:row>
    <x:row r="33" ht="62" customHeight="1">
      <x:c r="A33" s="14" t="str">
        <x:v>PKD-032</x:v>
      </x:c>
      <x:c r="B33" s="14" t="str">
        <x:v>A1</x:v>
      </x:c>
      <x:c r="C33" s="14" t="str">
        <x:v>Health / Surveillance</x:v>
      </x:c>
      <x:c r="D33" s="14" t="str">
        <x:v>National Institute of Health Pakistan publications and surveillance resources</x:v>
      </x:c>
      <x:c r="E33" s="14" t="str">
        <x:v>NIH Pakistan</x:v>
      </x:c>
      <x:c r="F33" s="14" t="str">
        <x:v>https://www.nih.org.pk/</x:v>
      </x:c>
      <x:c r="G33" s="14" t="str"/>
      <x:c r="H33" s="14" t="str">
        <x:v>Disease advisories, technical reports, surveillance publications and health resources</x:v>
      </x:c>
      <x:c r="I33" s="14" t="str">
        <x:v>Periodic/outbreak-specific</x:v>
      </x:c>
      <x:c r="J33" s="14" t="str">
        <x:v>National and disease-specific</x:v>
      </x:c>
      <x:c r="K33" s="14" t="str">
        <x:v>Infectious disease surveillance context, laboratory/public-health trends and outbreak monitoring</x:v>
      </x:c>
      <x:c r="L33" s="14" t="str">
        <x:v>Released surveillance aggregates may not expose underlying case line lists; confirm reporting definitions.</x:v>
      </x:c>
      <x:c r="M33" s="14" t="str">
        <x:v>Official page/catalog observed</x:v>
      </x:c>
      <x:c r="N33" s="14" t="str">
        <x:v>P2</x:v>
      </x:c>
      <x:c r="O33" s="18" t="str">
        <x:v>Not started</x:v>
      </x:c>
      <x:c r="P33" s="96"/>
    </x:row>
    <x:row r="34" ht="80" customHeight="1">
      <x:c r="A34" s="14" t="str">
        <x:v>PKD-033</x:v>
      </x:c>
      <x:c r="B34" s="14" t="str">
        <x:v>A1</x:v>
      </x:c>
      <x:c r="C34" s="14" t="str">
        <x:v>Households / Poverty</x:v>
      </x:c>
      <x:c r="D34" s="14" t="str">
        <x:v>HIES 2024–25: microdata, questionnaires, manuals and reports</x:v>
      </x:c>
      <x:c r="E34" s="14" t="str">
        <x:v>Pakistan Bureau of Statistics (PBS)</x:v>
      </x:c>
      <x:c r="F34" s="14" t="str">
        <x:v>https://www.pbs.gov.pk/hies/</x:v>
      </x:c>
      <x:c r="G34" s="14" t="str">
        <x:v>SPSS ZIP: https://www.pbs.gov.pk/wp-content/uploads/2020/07/SPSS-data-2.zip
Stata ZIP: https://www.pbs.gov.pk/wp-content/uploads/2020/07/Stata-data-1.zip
Full report PDF: https://www.pbs.gov.pk/wp-content/uploads/2020/07/HIES-2024-25-Report-Final-2.pdf
Social indicators PDF: https://www.pbs.gov.pk/wp-content/uploads/2020/07/HIES_Report_2024-25-Social-indicators-Reportupdated.pdf</x:v>
      </x:c>
      <x:c r="H34" s="14" t="str">
        <x:v>SPSS and Stata compressed files; PDF reports; questionnaires; codebooks; manuals</x:v>
      </x:c>
      <x:c r="I34" s="14" t="str">
        <x:v>2024–25; current round collected Sep 2024–Jun 2025; 32,814 households</x:v>
      </x:c>
      <x:c r="J34" s="14" t="str">
        <x:v>Pakistan incl. AJK and GB; provincial, urban/rural and consumption-quintile results</x:v>
      </x:c>
      <x:c r="K34" s="14" t="str">
        <x:v>Household income/consumption, consumption poverty, inequality, food insecurity, ICT access, health spending, education, jobs, WASH, household assets and amenities</x:v>
      </x:c>
      <x:c r="L34" s="14" t="str">
        <x:v>Use survey weights and codebook. PBS noted a corrected/re-uploaded Section 6 on 16 Jan 2026; confirm you have the corrected file. Direct links surfaced by the current PBS catalogue; confirm files, questionnaires and codebooks match the selected survey wave before analysis.</x:v>
      </x:c>
      <x:c r="M34" s="14" t="str">
        <x:v>Official page/catalog observed</x:v>
      </x:c>
      <x:c r="N34" s="14" t="str">
        <x:v>P1</x:v>
      </x:c>
      <x:c r="O34" s="18" t="str">
        <x:v>Not started</x:v>
      </x:c>
      <x:c r="P34" s="96"/>
    </x:row>
    <x:row r="35" ht="62" customHeight="1">
      <x:c r="A35" s="14" t="str">
        <x:v>PKD-034</x:v>
      </x:c>
      <x:c r="B35" s="14" t="str">
        <x:v>A1</x:v>
      </x:c>
      <x:c r="C35" s="14" t="str">
        <x:v>Households / Poverty</x:v>
      </x:c>
      <x:c r="D35" s="14" t="str">
        <x:v>HIES and PSLM historical microdata archive</x:v>
      </x:c>
      <x:c r="E35" s="14" t="str">
        <x:v>PBS</x:v>
      </x:c>
      <x:c r="F35" s="14" t="str">
        <x:v>https://www.pbs.gov.pk/hies/</x:v>
      </x:c>
      <x:c r="G35" s="14" t="str"/>
      <x:c r="H35" s="14" t="str">
        <x:v>SPSS/Stata archives, questionnaires, coding schemes, manuals and PDF reports</x:v>
      </x:c>
      <x:c r="I35" s="14" t="str">
        <x:v>Multiple rounds incl. 2001–02, 2004–05, 2005–06, 2006–07, 2007–08, 2010–11, 2011–12, 2013–14, 2015–16, 2018–19</x:v>
      </x:c>
      <x:c r="J35" s="14" t="str">
        <x:v>National / provincial; select older waves have district-level design</x:v>
      </x:c>
      <x:c r="K35" s="14" t="str">
        <x:v>Long-run changes in consumption, household amenities, education, health, gender, WASH and poverty</x:v>
      </x:c>
      <x:c r="L35" s="14" t="str">
        <x:v>Survey redesigns, sample frames, poverty methodology and variable names can change; do not append waves blindly.</x:v>
      </x:c>
      <x:c r="M35" s="14" t="str">
        <x:v>Official page/catalog observed</x:v>
      </x:c>
      <x:c r="N35" s="14" t="str">
        <x:v>P1</x:v>
      </x:c>
      <x:c r="O35" s="18" t="str">
        <x:v>Not started</x:v>
      </x:c>
      <x:c r="P35" s="96"/>
    </x:row>
    <x:row r="36" ht="62" customHeight="1">
      <x:c r="A36" s="14" t="str">
        <x:v>PKD-035</x:v>
      </x:c>
      <x:c r="B36" s="14" t="str">
        <x:v>A1</x:v>
      </x:c>
      <x:c r="C36" s="14" t="str">
        <x:v>Households / SDGs</x:v>
      </x:c>
      <x:c r="D36" s="14" t="str">
        <x:v>PSLM–SDGs district dashboard</x:v>
      </x:c>
      <x:c r="E36" s="14" t="str">
        <x:v>PBS / Government of Pakistan</x:v>
      </x:c>
      <x:c r="F36" s="14" t="str">
        <x:v>https://pslm-sdgs.data.gov.pk/districtlevel</x:v>
      </x:c>
      <x:c r="G36" s="14" t="str"/>
      <x:c r="H36" s="14" t="str">
        <x:v>Interactive tables and dashboards</x:v>
      </x:c>
      <x:c r="I36" s="14" t="str">
        <x:v>Multiple PSLM rounds/indicators; dashboard coverage varies by indicator</x:v>
      </x:c>
      <x:c r="J36" s="14" t="str">
        <x:v>District and higher administrative levels</x:v>
      </x:c>
      <x:c r="K36" s="14" t="str">
        <x:v>Compare districts on education, literacy, health, WASH, assets and SDG-related social outcomes</x:v>
      </x:c>
      <x:c r="L36" s="14" t="str">
        <x:v>Dashboard indicators may use different survey years; capture each indicator's source year and metadata.</x:v>
      </x:c>
      <x:c r="M36" s="14" t="str">
        <x:v>Official page/catalog observed</x:v>
      </x:c>
      <x:c r="N36" s="14" t="str">
        <x:v>P1</x:v>
      </x:c>
      <x:c r="O36" s="18" t="str">
        <x:v>Not started</x:v>
      </x:c>
      <x:c r="P36" s="96"/>
    </x:row>
    <x:row r="37" ht="62" customHeight="1">
      <x:c r="A37" s="14" t="str">
        <x:v>PKD-036</x:v>
      </x:c>
      <x:c r="B37" s="14" t="str">
        <x:v>A1</x:v>
      </x:c>
      <x:c r="C37" s="14" t="str">
        <x:v>Households / Social services</x:v>
      </x:c>
      <x:c r="D37" s="14" t="str">
        <x:v>PSLM District Level Survey 2019–20 microdata</x:v>
      </x:c>
      <x:c r="E37" s="14" t="str">
        <x:v>PBS</x:v>
      </x:c>
      <x:c r="F37" s="14" t="str">
        <x:v>https://www.pbs.gov.pk/content/microdata</x:v>
      </x:c>
      <x:c r="G37" s="14" t="str">
        <x:v>https://www.pbs.gov.pk/content/microdata</x:v>
      </x:c>
      <x:c r="H37" s="14" t="str">
        <x:v>SPSS/Stata files, questionnaires, coding schemes and PDF reports</x:v>
      </x:c>
      <x:c r="I37" s="14" t="str">
        <x:v>2019–20; large district-level round</x:v>
      </x:c>
      <x:c r="J37" s="14" t="str">
        <x:v>District level; urban/rural and demographic breakdowns subject to sample</x:v>
      </x:c>
      <x:c r="K37" s="14" t="str">
        <x:v>Literacy, school attendance/enrolment, employment, disability/functional limitation, health services, WASH, assets and basic services</x:v>
      </x:c>
      <x:c r="L37" s="14" t="str">
        <x:v>Check the exact round's sample design, indicator definitions and district reliability before small-area inference.</x:v>
      </x:c>
      <x:c r="M37" s="14" t="str">
        <x:v>Official page/catalog observed</x:v>
      </x:c>
      <x:c r="N37" s="14" t="str">
        <x:v>P1</x:v>
      </x:c>
      <x:c r="O37" s="18" t="str">
        <x:v>Not started</x:v>
      </x:c>
      <x:c r="P37" s="96"/>
    </x:row>
    <x:row r="38" ht="62" customHeight="1">
      <x:c r="A38" s="14" t="str">
        <x:v>PKD-037</x:v>
      </x:c>
      <x:c r="B38" s="14" t="str">
        <x:v>A1</x:v>
      </x:c>
      <x:c r="C38" s="14" t="str">
        <x:v>Industry / Production</x:v>
      </x:c>
      <x:c r="D38" s="14" t="str">
        <x:v>PBS industrial production and large-scale manufacturing statistics</x:v>
      </x:c>
      <x:c r="E38" s="14" t="str">
        <x:v>PBS</x:v>
      </x:c>
      <x:c r="F38" s="14" t="str">
        <x:v>https://www.pbs.gov.pk/</x:v>
      </x:c>
      <x:c r="G38" s="14" t="str"/>
      <x:c r="H38" s="14" t="str">
        <x:v>Monthly tables/releases; Excel series linked under industry/statistics</x:v>
      </x:c>
      <x:c r="I38" s="14" t="str">
        <x:v>Monthly and annual depending on indicator</x:v>
      </x:c>
      <x:c r="J38" s="14" t="str">
        <x:v>National; industrial groups and products</x:v>
      </x:c>
      <x:c r="K38" s="14" t="str">
        <x:v>Industrial cycles, production declines, sector composition and correlation with electricity/import inputs</x:v>
      </x:c>
      <x:c r="L38" s="14" t="str">
        <x:v>Index rebasing and product/sector weights may change; check methodology and revision notes.</x:v>
      </x:c>
      <x:c r="M38" s="14" t="str">
        <x:v>Official page/catalog observed</x:v>
      </x:c>
      <x:c r="N38" s="14" t="str">
        <x:v>P2</x:v>
      </x:c>
      <x:c r="O38" s="18" t="str">
        <x:v>Not started</x:v>
      </x:c>
      <x:c r="P38" s="96"/>
    </x:row>
    <x:row r="39" ht="62" customHeight="1">
      <x:c r="A39" s="14" t="str">
        <x:v>PKD-038</x:v>
      </x:c>
      <x:c r="B39" s="14" t="str">
        <x:v>A1</x:v>
      </x:c>
      <x:c r="C39" s="14" t="str">
        <x:v>Labour / Informal economy</x:v>
      </x:c>
      <x:c r="D39" s="14" t="str">
        <x:v>Punjab Home Based Worker Survey 2016 and Home Based/Domestic Workers Survey 2022–23</x:v>
      </x:c>
      <x:c r="E39" s="14" t="str">
        <x:v>Bureau of Statistics Punjab</x:v>
      </x:c>
      <x:c r="F39" s="14" t="str">
        <x:v>https://bos.punjab.gov.pk/dataset</x:v>
      </x:c>
      <x:c r="G39" s="14" t="str"/>
      <x:c r="H39" s="14" t="str">
        <x:v>Reports and any listed survey microdata</x:v>
      </x:c>
      <x:c r="I39" s="14" t="str">
        <x:v>2016 and 2022–23</x:v>
      </x:c>
      <x:c r="J39" s="14" t="str">
        <x:v>Punjab</x:v>
      </x:c>
      <x:c r="K39" s="14" t="str">
        <x:v>Home-based work, informal work, gender, work hours, wages and labour rights</x:v>
      </x:c>
      <x:c r="L39" s="14" t="str">
        <x:v>Survey concepts and sampling may differ across waves; microdata availability is not guaranteed for every listed survey.</x:v>
      </x:c>
      <x:c r="M39" s="14" t="str">
        <x:v>Official page/catalog observed</x:v>
      </x:c>
      <x:c r="N39" s="14" t="str">
        <x:v>P2</x:v>
      </x:c>
      <x:c r="O39" s="18" t="str">
        <x:v>Not started</x:v>
      </x:c>
      <x:c r="P39" s="96"/>
    </x:row>
    <x:row r="40" ht="80" customHeight="1">
      <x:c r="A40" s="14" t="str">
        <x:v>PKD-039</x:v>
      </x:c>
      <x:c r="B40" s="14" t="str">
        <x:v>A1</x:v>
      </x:c>
      <x:c r="C40" s="14" t="str">
        <x:v>Labour / Jobs</x:v>
      </x:c>
      <x:c r="D40" s="14" t="str">
        <x:v>Labour Force Survey 2024–25 microdata, report and documentation</x:v>
      </x:c>
      <x:c r="E40" s="14" t="str">
        <x:v>PBS</x:v>
      </x:c>
      <x:c r="F40" s="14" t="str">
        <x:v>https://www.pbs.gov.pk/labour-force-statistics/</x:v>
      </x:c>
      <x:c r="G40" s="14" t="str">
        <x:v>Stata ZIP: https://www.pbs.gov.pk/wp-content/uploads/2020/07/LFS-2024-25-STATA.zip
SPSS ZIP: https://www.pbs.gov.pk/wp-content/uploads/2020/07/LFS-2024-25-SPSS.zip
Report, questionnaire, codebook and classifications: https://www.pbs.gov.pk/labour-force-publications/</x:v>
      </x:c>
      <x:c r="H40" s="14" t="str">
        <x:v>SPSS/Stata RAR files, annual report, questionnaire, codebooks, occupation/industry classifications and enumerator manual</x:v>
      </x:c>
      <x:c r="I40" s="14" t="str">
        <x:v>2024–25; historical LFS files listed back to 2005–06</x:v>
      </x:c>
      <x:c r="J40" s="14" t="str">
        <x:v>National and provincial; district detail depends on design and release</x:v>
      </x:c>
      <x:c r="K40" s="14" t="str">
        <x:v>Employment/unemployment, labour-force participation, wages, occupation/industry, informal work, gender gap, migration, training and disability</x:v>
      </x:c>
      <x:c r="L40" s="14" t="str">
        <x:v>Use weights, survey strata/PSUs and the matching coding scheme; labour definitions can differ by survey year. Includes annual report, coding scheme, enumerator manual, technical/vocational course codes, occupation and industry classifications.</x:v>
      </x:c>
      <x:c r="M40" s="14" t="str">
        <x:v>Official page/catalog observed</x:v>
      </x:c>
      <x:c r="N40" s="14" t="str">
        <x:v>P1</x:v>
      </x:c>
      <x:c r="O40" s="18" t="str">
        <x:v>Not started</x:v>
      </x:c>
      <x:c r="P40" s="96"/>
    </x:row>
    <x:row r="41" ht="62" customHeight="1">
      <x:c r="A41" s="14" t="str">
        <x:v>PKD-040</x:v>
      </x:c>
      <x:c r="B41" s="14" t="str">
        <x:v>A1</x:v>
      </x:c>
      <x:c r="C41" s="14" t="str">
        <x:v>Labour / Jobs</x:v>
      </x:c>
      <x:c r="D41" s="14" t="str">
        <x:v>Pakistan Employment Trend Report 2025</x:v>
      </x:c>
      <x:c r="E41" s="14" t="str">
        <x:v>PBS</x:v>
      </x:c>
      <x:c r="F41" s="14" t="str">
        <x:v>https://www.pbs.gov.pk/labour-force-publications/</x:v>
      </x:c>
      <x:c r="G41" s="14" t="str">
        <x:v>https://www.pbs.gov.pk/wp-content/uploads/2020/07/Employment-Trend-Report-2025-Final.pdf</x:v>
      </x:c>
      <x:c r="H41" s="14" t="str">
        <x:v>PDF report with tables/figures</x:v>
      </x:c>
      <x:c r="I41" s="14" t="str">
        <x:v>Published 2025; trends derived from official labour-force statistics</x:v>
      </x:c>
      <x:c r="J41" s="14" t="str">
        <x:v>Pakistan and provinces</x:v>
      </x:c>
      <x:c r="K41" s="14" t="str">
        <x:v>Employment structure and changes by sector, occupation, sex, age and other report dimensions</x:v>
      </x:c>
      <x:c r="L41" s="14" t="str">
        <x:v>A publication/analysis layer, not a substitute for microdata; use the underlying LFS for custom cross-tabs.</x:v>
      </x:c>
      <x:c r="M41" s="14" t="str">
        <x:v>Official page/catalog observed</x:v>
      </x:c>
      <x:c r="N41" s="14" t="str">
        <x:v>P2</x:v>
      </x:c>
      <x:c r="O41" s="18" t="str">
        <x:v>Not started</x:v>
      </x:c>
      <x:c r="P41" s="96"/>
    </x:row>
    <x:row r="42" ht="62" customHeight="1">
      <x:c r="A42" s="14" t="str">
        <x:v>PKD-041</x:v>
      </x:c>
      <x:c r="B42" s="14" t="str">
        <x:v>A1</x:v>
      </x:c>
      <x:c r="C42" s="14" t="str">
        <x:v>Macroeconomics / Annual report</x:v>
      </x:c>
      <x:c r="D42" s="14" t="str">
        <x:v>Pakistan Economic Survey 2025–26 full report and sector chapters</x:v>
      </x:c>
      <x:c r="E42" s="14" t="str">
        <x:v>Finance Division</x:v>
      </x:c>
      <x:c r="F42" s="14" t="str">
        <x:v>https://www.finance.gov.pk/survey_2026.html</x:v>
      </x:c>
      <x:c r="G42" s="14" t="str">
        <x:v>https://finance.gov.pk/survey/chapter_26/Complete_PES2025_26.pdf</x:v>
      </x:c>
      <x:c r="H42" s="14" t="str">
        <x:v>Full PDF, chapter PDFs, statistical appendix and highlighted indicators</x:v>
      </x:c>
      <x:c r="I42" s="14" t="str">
        <x:v>FY2025–26 (some statistics through a stated cut-off within FY2026)</x:v>
      </x:c>
      <x:c r="J42" s="14" t="str">
        <x:v>National; some provincial or sectoral</x:v>
      </x:c>
      <x:c r="K42" s="14" t="str">
        <x:v>A broad inventory of agriculture, industry, tax, fiscal balance, debt, inflation, health, education, labour, energy, IT, climate and social protection</x:v>
      </x:c>
      <x:c r="L42" s="14" t="str">
        <x:v>Each chapter often cites a different producer and cut-off; trace figures to the source agency and note fiscal-year reference.</x:v>
      </x:c>
      <x:c r="M42" s="14" t="str">
        <x:v>Official page/catalog observed</x:v>
      </x:c>
      <x:c r="N42" s="14" t="str">
        <x:v>P1</x:v>
      </x:c>
      <x:c r="O42" s="18" t="str">
        <x:v>Not started</x:v>
      </x:c>
      <x:c r="P42" s="96"/>
    </x:row>
    <x:row r="43" ht="62" customHeight="1">
      <x:c r="A43" s="14" t="str">
        <x:v>PKD-042</x:v>
      </x:c>
      <x:c r="B43" s="14" t="str">
        <x:v>A1</x:v>
      </x:c>
      <x:c r="C43" s="14" t="str">
        <x:v>Macroeconomics / Archives</x:v>
      </x:c>
      <x:c r="D43" s="14" t="str">
        <x:v>Pakistan Economic Survey archive</x:v>
      </x:c>
      <x:c r="E43" s="14" t="str">
        <x:v>Finance Division</x:v>
      </x:c>
      <x:c r="F43" s="14" t="str">
        <x:v>https://www.finance.gov.pk/</x:v>
      </x:c>
      <x:c r="G43" s="14" t="str"/>
      <x:c r="H43" s="14" t="str">
        <x:v>Annual PDFs, chapter-wise reports and associated appendices</x:v>
      </x:c>
      <x:c r="I43" s="14" t="str">
        <x:v>Historical annual surveys; many years listed</x:v>
      </x:c>
      <x:c r="J43" s="14" t="str">
        <x:v>National</x:v>
      </x:c>
      <x:c r="K43" s="14" t="str">
        <x:v>Long-run official narrative and table-based analysis of the economy</x:v>
      </x:c>
      <x:c r="L43" s="14" t="str">
        <x:v>Series definitions, policy regimes and statistical bases change between editions.</x:v>
      </x:c>
      <x:c r="M43" s="14" t="str">
        <x:v>Official page/catalog observed</x:v>
      </x:c>
      <x:c r="N43" s="14" t="str">
        <x:v>P1</x:v>
      </x:c>
      <x:c r="O43" s="18" t="str">
        <x:v>Not started</x:v>
      </x:c>
      <x:c r="P43" s="96"/>
    </x:row>
    <x:row r="44" ht="62" customHeight="1">
      <x:c r="A44" s="14" t="str">
        <x:v>PKD-043</x:v>
      </x:c>
      <x:c r="B44" s="14" t="str">
        <x:v>A1</x:v>
      </x:c>
      <x:c r="C44" s="14" t="str">
        <x:v>Macroeconomics / Interactive dashboard</x:v>
      </x:c>
      <x:c r="D44" s="14" t="str">
        <x:v>Pakistan Economy Dashboard</x:v>
      </x:c>
      <x:c r="E44" s="14" t="str">
        <x:v>Finance Division</x:v>
      </x:c>
      <x:c r="F44" s="14" t="str">
        <x:v>https://economy.finance.gov.pk/</x:v>
      </x:c>
      <x:c r="G44" s="14" t="str">
        <x:v>Interactive dashboard: https://economy.finance.gov.pk/</x:v>
      </x:c>
      <x:c r="H44" s="14" t="str">
        <x:v>Interactive sector dashboards; chart export as CSV/SVG/PNG where offered</x:v>
      </x:c>
      <x:c r="I44" s="14" t="str">
        <x:v>Current and historical economic indicators by dashboard</x:v>
      </x:c>
      <x:c r="J44" s="14" t="str">
        <x:v>National; many macro and sector series</x:v>
      </x:c>
      <x:c r="K44" s="14" t="str">
        <x:v>Fast screening of GDP, fiscal, trade, debt, education, health, employment, energy, IT and social protection</x:v>
      </x:c>
      <x:c r="L44" s="14" t="str">
        <x:v>A convenient presentation layer. Preserve the underlying series name and source rather than citing a screenshot alone. Exports are available for supported indicators/charts; check individual dashboard source notes and reference periods.</x:v>
      </x:c>
      <x:c r="M44" s="14" t="str">
        <x:v>Official page/catalog observed</x:v>
      </x:c>
      <x:c r="N44" s="14" t="str">
        <x:v>P1</x:v>
      </x:c>
      <x:c r="O44" s="18" t="str">
        <x:v>Not started</x:v>
      </x:c>
      <x:c r="P44" s="96"/>
    </x:row>
    <x:row r="45" ht="62" customHeight="1">
      <x:c r="A45" s="14" t="str">
        <x:v>PKD-044</x:v>
      </x:c>
      <x:c r="B45" s="14" t="str">
        <x:v>A1</x:v>
      </x:c>
      <x:c r="C45" s="14" t="str">
        <x:v>Macroeconomics / Statistical tables</x:v>
      </x:c>
      <x:c r="D45" s="14" t="str">
        <x:v>Economic Survey Statistical Supplement archive</x:v>
      </x:c>
      <x:c r="E45" s="14" t="str">
        <x:v>Finance Division</x:v>
      </x:c>
      <x:c r="F45" s="14" t="str">
        <x:v>https://www.finance.gov.pk/</x:v>
      </x:c>
      <x:c r="G45" s="14" t="str"/>
      <x:c r="H45" s="14" t="str">
        <x:v>Annual tables and PDF/Excel-like annexes depending on edition</x:v>
      </x:c>
      <x:c r="I45" s="14" t="str">
        <x:v>Multiple past editions</x:v>
      </x:c>
      <x:c r="J45" s="14" t="str">
        <x:v>National and sectoral</x:v>
      </x:c>
      <x:c r="K45" s="14" t="str">
        <x:v>Build historical tables for key economic/social variables that are hard to locate individually</x:v>
      </x:c>
      <x:c r="L45" s="14" t="str">
        <x:v>Treat this as a compiled reference; source agency and series notes should travel with copied data.</x:v>
      </x:c>
      <x:c r="M45" s="14" t="str">
        <x:v>Official page/catalog observed</x:v>
      </x:c>
      <x:c r="N45" s="14" t="str">
        <x:v>P1</x:v>
      </x:c>
      <x:c r="O45" s="18" t="str">
        <x:v>Not started</x:v>
      </x:c>
      <x:c r="P45" s="96"/>
    </x:row>
    <x:row r="46" ht="62" customHeight="1">
      <x:c r="A46" s="14" t="str">
        <x:v>PKD-045</x:v>
      </x:c>
      <x:c r="B46" s="14" t="str">
        <x:v>A1</x:v>
      </x:c>
      <x:c r="C46" s="14" t="str">
        <x:v>Migration / Jobs</x:v>
      </x:c>
      <x:c r="D46" s="14" t="str">
        <x:v>Bureau of Emigration &amp; Overseas Employment statistics</x:v>
      </x:c>
      <x:c r="E46" s="14" t="str">
        <x:v>BE&amp;OE</x:v>
      </x:c>
      <x:c r="F46" s="14" t="str">
        <x:v>https://beoe.gov.pk/</x:v>
      </x:c>
      <x:c r="G46" s="14" t="str"/>
      <x:c r="H46" s="14" t="str">
        <x:v>Annual reports, registered-emigrant statistics, country/occupation and administrative records</x:v>
      </x:c>
      <x:c r="I46" s="14" t="str">
        <x:v>Long-run annual series and current administrative records vary</x:v>
      </x:c>
      <x:c r="J46" s="14" t="str">
        <x:v>National, province/district and destination/country where released</x:v>
      </x:c>
      <x:c r="K46" s="14" t="str">
        <x:v>Overseas job placements, occupations, destination shifts and labour export dependency</x:v>
      </x:c>
      <x:c r="L46" s="14" t="str">
        <x:v>Counts of registered overseas workers do not cover informal/unregistered migration or every visa category.</x:v>
      </x:c>
      <x:c r="M46" s="14" t="str">
        <x:v>Official page/catalog observed</x:v>
      </x:c>
      <x:c r="N46" s="14" t="str">
        <x:v>P2</x:v>
      </x:c>
      <x:c r="O46" s="18" t="str">
        <x:v>Not started</x:v>
      </x:c>
      <x:c r="P46" s="96"/>
    </x:row>
    <x:row r="47" ht="62" customHeight="1">
      <x:c r="A47" s="14" t="str">
        <x:v>PKD-046</x:v>
      </x:c>
      <x:c r="B47" s="14" t="str">
        <x:v>A1</x:v>
      </x:c>
      <x:c r="C47" s="14" t="str">
        <x:v>Migration / Jobs</x:v>
      </x:c>
      <x:c r="D47" s="14" t="str">
        <x:v>Diaspora Database Dashboard: overseas Pakistani employment</x:v>
      </x:c>
      <x:c r="E47" s="14" t="str">
        <x:v>PBS / Government of Pakistan dashboard</x:v>
      </x:c>
      <x:c r="F47" s="14" t="str">
        <x:v>https://dashboards.data.gov.pk/Diaspora/Migration</x:v>
      </x:c>
      <x:c r="G47" s="14" t="str"/>
      <x:c r="H47" s="14" t="str">
        <x:v>Interactive dashboard, trend indicators and skill categories</x:v>
      </x:c>
      <x:c r="I47" s="14" t="str">
        <x:v>Yearly data with current-year and historical views displayed</x:v>
      </x:c>
      <x:c r="J47" s="14" t="str">
        <x:v>National and origin province; skill class and destination where available</x:v>
      </x:c>
      <x:c r="K47" s="14" t="str">
        <x:v>Emigration for work, skill composition, region of origin and overseas employment trends</x:v>
      </x:c>
      <x:c r="L47" s="14" t="str">
        <x:v>Registration counts reflect formal overseas employment channels; not all migration or all emigrants.</x:v>
      </x:c>
      <x:c r="M47" s="14" t="str">
        <x:v>Official page/catalog observed</x:v>
      </x:c>
      <x:c r="N47" s="14" t="str">
        <x:v>P2</x:v>
      </x:c>
      <x:c r="O47" s="18" t="str">
        <x:v>Not started</x:v>
      </x:c>
      <x:c r="P47" s="96"/>
    </x:row>
    <x:row r="48" ht="62" customHeight="1">
      <x:c r="A48" s="14" t="str">
        <x:v>PKD-047</x:v>
      </x:c>
      <x:c r="B48" s="14" t="str">
        <x:v>A1</x:v>
      </x:c>
      <x:c r="C48" s="14" t="str">
        <x:v>National accounts / GDP</x:v>
      </x:c>
      <x:c r="D48" s="14" t="str">
        <x:v>PBS annual and quarterly national accounts tables</x:v>
      </x:c>
      <x:c r="E48" s="14" t="str">
        <x:v>PBS / National Accounts Committee</x:v>
      </x:c>
      <x:c r="F48" s="14" t="str">
        <x:v>https://www.pbs.gov.pk/national-accounts-2/</x:v>
      </x:c>
      <x:c r="G48" s="14" t="str">
        <x:v>Official National Accounts tables: https://www.pbs.gov.pk/national-accounts-2/</x:v>
      </x:c>
      <x:c r="H48" s="14" t="str">
        <x:v>Excel tables, quarterly releases, annual series, visualization and press releases</x:v>
      </x:c>
      <x:c r="I48" s="14" t="str">
        <x:v>Annual and quarterly GDP; series revised as national accounts estimates are updated</x:v>
      </x:c>
      <x:c r="J48" s="14" t="str">
        <x:v>National; sectoral accounts</x:v>
      </x:c>
      <x:c r="K48" s="14" t="str">
        <x:v>GDP growth, sector contribution, nominal vs real growth, rebasing and macroeconomic trend analysis</x:v>
      </x:c>
      <x:c r="L48" s="14" t="str">
        <x:v>Use the most recent revised series consistently; historic estimates can be revised and rebased. Use the latest revised release and retain vintage/revision date when building time series.</x:v>
      </x:c>
      <x:c r="M48" s="14" t="str">
        <x:v>Official page/catalog observed</x:v>
      </x:c>
      <x:c r="N48" s="14" t="str">
        <x:v>P1</x:v>
      </x:c>
      <x:c r="O48" s="18" t="str">
        <x:v>Not started</x:v>
      </x:c>
      <x:c r="P48" s="96"/>
    </x:row>
    <x:row r="49" ht="62" customHeight="1">
      <x:c r="A49" s="14" t="str">
        <x:v>PKD-048</x:v>
      </x:c>
      <x:c r="B49" s="14" t="str">
        <x:v>A1</x:v>
      </x:c>
      <x:c r="C49" s="14" t="str">
        <x:v>National statistical standards</x:v>
      </x:c>
      <x:c r="D49" s="14" t="str">
        <x:v>Pakistan National Summary Data Page / NSDP</x:v>
      </x:c>
      <x:c r="E49" s="14" t="str">
        <x:v>PBS</x:v>
      </x:c>
      <x:c r="F49" s="14" t="str">
        <x:v>https://www.pbs.gov.pk/nsdp/</x:v>
      </x:c>
      <x:c r="G49" s="14" t="str">
        <x:v>PBS NSDP page: https://www.pbs.gov.pk/nsdp/</x:v>
      </x:c>
      <x:c r="H49" s="14" t="str">
        <x:v>Indicator tables and metadata links</x:v>
      </x:c>
      <x:c r="I49" s="14" t="str">
        <x:v>Selected official macroeconomic and social indicators</x:v>
      </x:c>
      <x:c r="J49" s="14" t="str">
        <x:v>National</x:v>
      </x:c>
      <x:c r="K49" s="14" t="str">
        <x:v>Find internationally disseminated official data, indicator metadata and source agencies</x:v>
      </x:c>
      <x:c r="L49" s="14" t="str">
        <x:v>Coverage is curated rather than exhaustive; follow links to the originating producer. A dissemination index; for source-level detail follow the indicator metadata to its originating department.</x:v>
      </x:c>
      <x:c r="M49" s="14" t="str">
        <x:v>Official page/catalog observed</x:v>
      </x:c>
      <x:c r="N49" s="14" t="str">
        <x:v>P2</x:v>
      </x:c>
      <x:c r="O49" s="18" t="str">
        <x:v>Not started</x:v>
      </x:c>
      <x:c r="P49" s="96"/>
    </x:row>
    <x:row r="50" ht="62" customHeight="1">
      <x:c r="A50" s="14" t="str">
        <x:v>PKD-049</x:v>
      </x:c>
      <x:c r="B50" s="14" t="str">
        <x:v>A1</x:v>
      </x:c>
      <x:c r="C50" s="14" t="str">
        <x:v>National statistics / Metadata</x:v>
      </x:c>
      <x:c r="D50" s="14" t="str">
        <x:v>PBS statistics and microdata entry directory</x:v>
      </x:c>
      <x:c r="E50" s="14" t="str">
        <x:v>PBS</x:v>
      </x:c>
      <x:c r="F50" s="14" t="str">
        <x:v>https://www.pbs.gov.pk/content/</x:v>
      </x:c>
      <x:c r="G50" s="14" t="str"/>
      <x:c r="H50" s="14" t="str">
        <x:v>Navigation to statistics, surveys, census, media releases and data insights</x:v>
      </x:c>
      <x:c r="I50" s="14" t="str">
        <x:v>Multiple series and years</x:v>
      </x:c>
      <x:c r="J50" s="14" t="str">
        <x:v>National and sector-specific</x:v>
      </x:c>
      <x:c r="K50" s="14" t="str">
        <x:v>Discover PBS resources not yet listed, including social stats, industry, energy/mining, IT services and business register</x:v>
      </x:c>
      <x:c r="L50" s="14" t="str">
        <x:v>A directory, not a dataset itself; use the item-specific page to download and record metadata.</x:v>
      </x:c>
      <x:c r="M50" s="14" t="str">
        <x:v>Official page/catalog observed</x:v>
      </x:c>
      <x:c r="N50" s="14" t="str">
        <x:v>P1</x:v>
      </x:c>
      <x:c r="O50" s="18" t="str">
        <x:v>Not started</x:v>
      </x:c>
      <x:c r="P50" s="96"/>
    </x:row>
    <x:row r="51" ht="62" customHeight="1">
      <x:c r="A51" s="14" t="str">
        <x:v>PKD-050</x:v>
      </x:c>
      <x:c r="B51" s="14" t="str">
        <x:v>A1</x:v>
      </x:c>
      <x:c r="C51" s="14" t="str">
        <x:v>Official finance / Digital payments</x:v>
      </x:c>
      <x:c r="D51" s="14" t="str">
        <x:v>SBP payment systems and financial inclusion publications</x:v>
      </x:c>
      <x:c r="E51" s="14" t="str">
        <x:v>SBP</x:v>
      </x:c>
      <x:c r="F51" s="14" t="str">
        <x:v>https://www.sbp.org.pk/</x:v>
      </x:c>
      <x:c r="G51" s="14" t="str"/>
      <x:c r="H51" s="14" t="str">
        <x:v>Quarterly review reports, annual reporting and sector tables where published</x:v>
      </x:c>
      <x:c r="I51" s="14" t="str">
        <x:v>Quarterly/annual depending on release</x:v>
      </x:c>
      <x:c r="J51" s="14" t="str">
        <x:v>National, banks and payment channels</x:v>
      </x:c>
      <x:c r="K51" s="14" t="str">
        <x:v>Digital payments, branchless banking, mobile wallets, account access and financial inclusion</x:v>
      </x:c>
      <x:c r="L51" s="14" t="str">
        <x:v>Payment transactions may count transactions/accounts rather than unique users; avoid inferring individual inclusion directly.</x:v>
      </x:c>
      <x:c r="M51" s="14" t="str">
        <x:v>Official page/catalog observed</x:v>
      </x:c>
      <x:c r="N51" s="14" t="str">
        <x:v>P2</x:v>
      </x:c>
      <x:c r="O51" s="18" t="str">
        <x:v>Not started</x:v>
      </x:c>
      <x:c r="P51" s="96"/>
    </x:row>
    <x:row r="52" ht="62" customHeight="1">
      <x:c r="A52" s="14" t="str">
        <x:v>PKD-051</x:v>
      </x:c>
      <x:c r="B52" s="14" t="str">
        <x:v>A1</x:v>
      </x:c>
      <x:c r="C52" s="14" t="str">
        <x:v>Official finance / External sector</x:v>
      </x:c>
      <x:c r="D52" s="14" t="str">
        <x:v>SBP remittances, foreign reserves, FX rates and balance-of-payments series</x:v>
      </x:c>
      <x:c r="E52" s="14" t="str">
        <x:v>SBP EasyData</x:v>
      </x:c>
      <x:c r="F52" s="14" t="str">
        <x:v>https://easydata.sbp.org.pk/</x:v>
      </x:c>
      <x:c r="G52" s="14" t="str"/>
      <x:c r="H52" s="14" t="str">
        <x:v>Monthly/daily time series and downloadable datasets</x:v>
      </x:c>
      <x:c r="I52" s="14" t="str">
        <x:v>Long-run series; remittances from Jul 1972 and reserves from Jun 1948 are listed in catalogue</x:v>
      </x:c>
      <x:c r="J52" s="14" t="str">
        <x:v>National; worker remittances by country, reserve assets and currency series where available</x:v>
      </x:c>
      <x:c r="K52" s="14" t="str">
        <x:v>Migration economics, external financing, current-account pressure, FX liquidity and remittance dependency</x:v>
      </x:c>
      <x:c r="L52" s="14" t="str">
        <x:v>Different remittance series may be seasonally adjusted or classified differently; record exact series ID and unit.</x:v>
      </x:c>
      <x:c r="M52" s="14" t="str">
        <x:v>Official page/catalog observed</x:v>
      </x:c>
      <x:c r="N52" s="14" t="str">
        <x:v>P2</x:v>
      </x:c>
      <x:c r="O52" s="18" t="str">
        <x:v>Not started</x:v>
      </x:c>
      <x:c r="P52" s="96"/>
    </x:row>
    <x:row r="53" ht="62" customHeight="1">
      <x:c r="A53" s="14" t="str">
        <x:v>PKD-052</x:v>
      </x:c>
      <x:c r="B53" s="14" t="str">
        <x:v>A1</x:v>
      </x:c>
      <x:c r="C53" s="14" t="str">
        <x:v>Official finance / Monetary</x:v>
      </x:c>
      <x:c r="D53" s="14" t="str">
        <x:v>SBP EasyData economic time-series portal</x:v>
      </x:c>
      <x:c r="E53" s="14" t="str">
        <x:v>State Bank of Pakistan</x:v>
      </x:c>
      <x:c r="F53" s="14" t="str">
        <x:v>https://easydata.sbp.org.pk/</x:v>
      </x:c>
      <x:c r="G53" s="14" t="str">
        <x:v>Portal: https://easydata.sbp.org.pk/
Series browser/catalog: https://easydata.sbp.org.pk/apex/f?p=10:210</x:v>
      </x:c>
      <x:c r="H53" s="14" t="str">
        <x:v>Interactive time series, dashboards, Excel/PDF downloads; API for some signed-in features</x:v>
      </x:c>
      <x:c r="I53" s="14" t="str">
        <x:v>Thousands of series; high-frequency series range from daily/weekly to annual</x:v>
      </x:c>
      <x:c r="J53" s="14" t="str">
        <x:v>National; subject/sector/country breakdown varies</x:v>
      </x:c>
      <x:c r="K53" s="14" t="str">
        <x:v>FX rates, remittances, reserves, trade, balance of payments, banking, credit, money, prices and FDI</x:v>
      </x:c>
      <x:c r="L53" s="14" t="str">
        <x:v>SBP described 24,487 time-series and 3.11 million data points; API/My Data Basket may need sign-in. Portal supports series exploration and downloads; some baskets/API features may require sign-in.</x:v>
      </x:c>
      <x:c r="M53" s="14" t="str">
        <x:v>Official page/catalog observed</x:v>
      </x:c>
      <x:c r="N53" s="14" t="str">
        <x:v>P1</x:v>
      </x:c>
      <x:c r="O53" s="18" t="str">
        <x:v>Not started</x:v>
      </x:c>
      <x:c r="P53" s="96"/>
    </x:row>
    <x:row r="54" ht="62" customHeight="1">
      <x:c r="A54" s="14" t="str">
        <x:v>PKD-053</x:v>
      </x:c>
      <x:c r="B54" s="14" t="str">
        <x:v>A1</x:v>
      </x:c>
      <x:c r="C54" s="14" t="str">
        <x:v>Official finance / Other economic series</x:v>
      </x:c>
      <x:c r="D54" s="14" t="str">
        <x:v>SBP Economic Data and historical archive</x:v>
      </x:c>
      <x:c r="E54" s="14" t="str">
        <x:v>SBP</x:v>
      </x:c>
      <x:c r="F54" s="14" t="str">
        <x:v>https://www.sbp.org.pk/economic-data</x:v>
      </x:c>
      <x:c r="G54" s="14" t="str">
        <x:v>https://archive.sbp.org.pk/ecodata/index2.asp</x:v>
      </x:c>
      <x:c r="H54" s="14" t="str">
        <x:v>Excel tables, statistical publications, dataset links and archives</x:v>
      </x:c>
      <x:c r="I54" s="14" t="str">
        <x:v>Historical and current series; GDP, trade, LSM, prices and other sectors</x:v>
      </x:c>
      <x:c r="J54" s="14" t="str">
        <x:v>National</x:v>
      </x:c>
      <x:c r="K54" s="14" t="str">
        <x:v>Retrieve series outside the more interactive EasyData interface and locate archived file versions</x:v>
      </x:c>
      <x:c r="L54" s="14" t="str">
        <x:v>Older archives may use different page structures and data bases; confirm the latest revised dataset.</x:v>
      </x:c>
      <x:c r="M54" s="14" t="str">
        <x:v>Official page/catalog observed</x:v>
      </x:c>
      <x:c r="N54" s="14" t="str">
        <x:v>P2</x:v>
      </x:c>
      <x:c r="O54" s="18" t="str">
        <x:v>Not started</x:v>
      </x:c>
      <x:c r="P54" s="96"/>
    </x:row>
    <x:row r="55" ht="62" customHeight="1">
      <x:c r="A55" s="14" t="str">
        <x:v>PKD-054</x:v>
      </x:c>
      <x:c r="B55" s="14" t="str">
        <x:v>A1</x:v>
      </x:c>
      <x:c r="C55" s="14" t="str">
        <x:v>Official finance / Release calendar</x:v>
      </x:c>
      <x:c r="D55" s="14" t="str">
        <x:v>SBP data calendar / release schedule</x:v>
      </x:c>
      <x:c r="E55" s="14" t="str">
        <x:v>SBP</x:v>
      </x:c>
      <x:c r="F55" s="14" t="str">
        <x:v>https://www.sbp.org.pk/data-calendar</x:v>
      </x:c>
      <x:c r="G55" s="14" t="str"/>
      <x:c r="H55" s="14" t="str">
        <x:v>Release calendar / expected publication dates</x:v>
      </x:c>
      <x:c r="I55" s="14" t="str">
        <x:v>Rolling monthly release schedule</x:v>
      </x:c>
      <x:c r="J55" s="14" t="str">
        <x:v>National macroeconomic and financial series</x:v>
      </x:c>
      <x:c r="K55" s="14" t="str">
        <x:v>Automate data monitoring and distinguish publication lags from missing series</x:v>
      </x:c>
      <x:c r="L55" s="14" t="str">
        <x:v>Expected dates can change; capture actual release date and time series version separately.</x:v>
      </x:c>
      <x:c r="M55" s="14" t="str">
        <x:v>Official page/catalog observed</x:v>
      </x:c>
      <x:c r="N55" s="14" t="str">
        <x:v>P2</x:v>
      </x:c>
      <x:c r="O55" s="18" t="str">
        <x:v>Not started</x:v>
      </x:c>
      <x:c r="P55" s="96"/>
    </x:row>
    <x:row r="56" ht="62" customHeight="1">
      <x:c r="A56" s="14" t="str">
        <x:v>PKD-055</x:v>
      </x:c>
      <x:c r="B56" s="14" t="str">
        <x:v>A1</x:v>
      </x:c>
      <x:c r="C56" s="14" t="str">
        <x:v>Official finance / Series catalogue</x:v>
      </x:c>
      <x:c r="D56" s="14" t="str">
        <x:v>SBP EasyData dataset catalogue with frequency and date coverage</x:v>
      </x:c>
      <x:c r="E56" s="14" t="str">
        <x:v>SBP</x:v>
      </x:c>
      <x:c r="F56" s="14" t="str">
        <x:v>https://easydata.sbp.org.pk/apex/f?p=10:210:8439371819372:</x:v>
      </x:c>
      <x:c r="G56" s="14" t="str"/>
      <x:c r="H56" s="14" t="str">
        <x:v>Searchable dataset listing with frequency, source, available-from/to and release date</x:v>
      </x:c>
      <x:c r="I56" s="14" t="str">
        <x:v>Historical series include remittances from 1972 and foreign reserves from 1948 for some variables</x:v>
      </x:c>
      <x:c r="J56" s="14" t="str">
        <x:v>National, country/sector/category disaggregation depending on series</x:v>
      </x:c>
      <x:c r="K56" s="14" t="str">
        <x:v>Choose precise series for a reproducible economic time series and track update cadence</x:v>
      </x:c>
      <x:c r="L56" s="14" t="str">
        <x:v>The catalogue URL can contain session-specific parameters; if it expires, open EasyData and navigate to Datasets.</x:v>
      </x:c>
      <x:c r="M56" s="14" t="str">
        <x:v>Official page/catalog observed</x:v>
      </x:c>
      <x:c r="N56" s="14" t="str">
        <x:v>P1</x:v>
      </x:c>
      <x:c r="O56" s="18" t="str">
        <x:v>Not started</x:v>
      </x:c>
      <x:c r="P56" s="96"/>
    </x:row>
    <x:row r="57" ht="62" customHeight="1">
      <x:c r="A57" s="14" t="str">
        <x:v>PKD-056</x:v>
      </x:c>
      <x:c r="B57" s="14" t="str">
        <x:v>A1</x:v>
      </x:c>
      <x:c r="C57" s="14" t="str">
        <x:v>Planning / Project monitoring</x:v>
      </x:c>
      <x:c r="D57" s="14" t="str">
        <x:v>Planning Commission publications and Monthly Development Update</x:v>
      </x:c>
      <x:c r="E57" s="14" t="str">
        <x:v>Ministry of Planning, Development &amp; Special Initiatives</x:v>
      </x:c>
      <x:c r="F57" s="14" t="str">
        <x:v>https://pc.gov.pk/web/publication</x:v>
      </x:c>
      <x:c r="G57" s="14" t="str"/>
      <x:c r="H57" s="14" t="str">
        <x:v>PDF publications, development updates, annual reports and policy briefs</x:v>
      </x:c>
      <x:c r="I57" s="14" t="str">
        <x:v>Periodic; recent releases include 2026 development updates</x:v>
      </x:c>
      <x:c r="J57" s="14" t="str">
        <x:v>National and programme/sector detail</x:v>
      </x:c>
      <x:c r="K57" s="14" t="str">
        <x:v>Development priorities, macro/development monitoring, public projects and SDG progress</x:v>
      </x:c>
      <x:c r="L57" s="14" t="str">
        <x:v>Reports synthesize source data and may be selective; use the annexes/source notes for further retrieval.</x:v>
      </x:c>
      <x:c r="M57" s="14" t="str">
        <x:v>Official page/catalog observed</x:v>
      </x:c>
      <x:c r="N57" s="14" t="str">
        <x:v>P2</x:v>
      </x:c>
      <x:c r="O57" s="18" t="str">
        <x:v>Not started</x:v>
      </x:c>
      <x:c r="P57" s="96"/>
    </x:row>
    <x:row r="58" ht="62" customHeight="1">
      <x:c r="A58" s="14" t="str">
        <x:v>PKD-057</x:v>
      </x:c>
      <x:c r="B58" s="14" t="str">
        <x:v>A1</x:v>
      </x:c>
      <x:c r="C58" s="14" t="str">
        <x:v>Population / Census</x:v>
      </x:c>
      <x:c r="D58" s="14" t="str">
        <x:v>Census 2023 interactive demographic and housing dashboard</x:v>
      </x:c>
      <x:c r="E58" s="14" t="str">
        <x:v>PBS</x:v>
      </x:c>
      <x:c r="F58" s="14" t="str">
        <x:v>https://census23.pbos.gov.pk/</x:v>
      </x:c>
      <x:c r="G58" s="14" t="str"/>
      <x:c r="H58" s="14" t="str">
        <x:v>Interactive charts, maps and tables</x:v>
      </x:c>
      <x:c r="I58" s="14" t="str">
        <x:v>2023 census</x:v>
      </x:c>
      <x:c r="J58" s="14" t="str">
        <x:v>National down to mouza level where available</x:v>
      </x:c>
      <x:c r="K58" s="14" t="str">
        <x:v>Housing quality, household amenities, population pyramid, education, internet, electricity, gas and water access</x:v>
      </x:c>
      <x:c r="L58" s="14" t="str">
        <x:v>Dashboard outputs are useful for discovery; download matching official tables for reproducible citations.</x:v>
      </x:c>
      <x:c r="M58" s="14" t="str">
        <x:v>Official page/catalog observed</x:v>
      </x:c>
      <x:c r="N58" s="14" t="str">
        <x:v>P1</x:v>
      </x:c>
      <x:c r="O58" s="18" t="str">
        <x:v>Not started</x:v>
      </x:c>
      <x:c r="P58" s="96"/>
    </x:row>
    <x:row r="59" ht="80" customHeight="1">
      <x:c r="A59" s="14" t="str">
        <x:v>PKD-058</x:v>
      </x:c>
      <x:c r="B59" s="14" t="str">
        <x:v>A1</x:v>
      </x:c>
      <x:c r="C59" s="14" t="str">
        <x:v>Population / Census</x:v>
      </x:c>
      <x:c r="D59" s="14" t="str">
        <x:v>Population &amp; Housing Census 2023 detailed tables</x:v>
      </x:c>
      <x:c r="E59" s="14" t="str">
        <x:v>PBS</x:v>
      </x:c>
      <x:c r="F59" s="14" t="str">
        <x:v>https://www.pbs.gov.pk/census/</x:v>
      </x:c>
      <x:c r="G59" s="14" t="str">
        <x:v>Excel table library: https://www.pbs.gov.pk/result-excel/
Census portal: https://census23.pbos.gov.pk/
GIS/admin tables: https://www.pbs.gov.pk/gis/</x:v>
      </x:c>
      <x:c r="H59" s="14" t="str">
        <x:v>Excel tables, PDF reports, gazette notifications, enumerator questionnaires and technical documentation</x:v>
      </x:c>
      <x:c r="I59" s="14" t="str">
        <x:v>2023; 7th Population &amp; Housing Census</x:v>
      </x:c>
      <x:c r="J59" s="14" t="str">
        <x:v>National, province, district, tehsil and some lower units/tables</x:v>
      </x:c>
      <x:c r="K59" s="14" t="str">
        <x:v>Population growth, density, household size, sex/age structure, literacy, education, housing, utilities and urbanization</x:v>
      </x:c>
      <x:c r="L59" s="14" t="str">
        <x:v>Compare administrative boundaries carefully across census years; note census revisions, coverage and enumeration definitions. Select the right geographic level and table definition; province/district figures and locality-level tables are not always directly comparable.</x:v>
      </x:c>
      <x:c r="M59" s="14" t="str">
        <x:v>Official page/catalog observed</x:v>
      </x:c>
      <x:c r="N59" s="14" t="str">
        <x:v>P1</x:v>
      </x:c>
      <x:c r="O59" s="18" t="str">
        <x:v>Not started</x:v>
      </x:c>
      <x:c r="P59" s="96"/>
    </x:row>
    <x:row r="60" ht="62" customHeight="1">
      <x:c r="A60" s="14" t="str">
        <x:v>PKD-059</x:v>
      </x:c>
      <x:c r="B60" s="14" t="str">
        <x:v>A1</x:v>
      </x:c>
      <x:c r="C60" s="14" t="str">
        <x:v>Population / Health</x:v>
      </x:c>
      <x:c r="D60" s="14" t="str">
        <x:v>NIPS public microdata catalogue</x:v>
      </x:c>
      <x:c r="E60" s="14" t="str">
        <x:v>National Institute of Population Studies</x:v>
      </x:c>
      <x:c r="F60" s="14" t="str">
        <x:v>https://www.nips.org.pk/viewpublicdata</x:v>
      </x:c>
      <x:c r="G60" s="14" t="str"/>
      <x:c r="H60" s="14" t="str">
        <x:v>SPSS/Stata files, survey reports and survey-related material</x:v>
      </x:c>
      <x:c r="I60" s="14" t="str">
        <x:v>PDHS 1990–91, 2006–07, 2012–13, 2017–18; Maternal Mortality Survey 2019 among listed items</x:v>
      </x:c>
      <x:c r="J60" s="14" t="str">
        <x:v>Pakistan; sample-specific sub-national coverage varies by survey</x:v>
      </x:c>
      <x:c r="K60" s="14" t="str">
        <x:v>Fertility, maternal/child health, mortality, reproductive health, household demographics and related public-health questions</x:v>
      </x:c>
      <x:c r="L60" s="14" t="str">
        <x:v>Some data may require application or account; use survey weights and the release's anonymization/permission rules.</x:v>
      </x:c>
      <x:c r="M60" s="14" t="str">
        <x:v>Official page/catalog observed</x:v>
      </x:c>
      <x:c r="N60" s="14" t="str">
        <x:v>P1</x:v>
      </x:c>
      <x:c r="O60" s="18" t="str">
        <x:v>Not started</x:v>
      </x:c>
      <x:c r="P60" s="96"/>
    </x:row>
    <x:row r="61" ht="62" customHeight="1">
      <x:c r="A61" s="14" t="str">
        <x:v>PKD-060</x:v>
      </x:c>
      <x:c r="B61" s="14" t="str">
        <x:v>A1</x:v>
      </x:c>
      <x:c r="C61" s="14" t="str">
        <x:v>Population / Health</x:v>
      </x:c>
      <x:c r="D61" s="14" t="str">
        <x:v>Pakistan Demographic and Health Survey 2017–18 files at NIPS</x:v>
      </x:c>
      <x:c r="E61" s="14" t="str">
        <x:v>NIPS / Government of Pakistan</x:v>
      </x:c>
      <x:c r="F61" s="14" t="str">
        <x:v>https://www.nips.org.pk/viewpublicdata</x:v>
      </x:c>
      <x:c r="G61" s="14" t="str"/>
      <x:c r="H61" s="14" t="str">
        <x:v>SPSS/Stata microdata, full survey reports and questionnaires</x:v>
      </x:c>
      <x:c r="I61" s="14" t="str">
        <x:v>2017–18; prior PDHS rounds also listed</x:v>
      </x:c>
      <x:c r="J61" s="14" t="str">
        <x:v>Nationally representative with sub-national domains as reported</x:v>
      </x:c>
      <x:c r="K61" s="14" t="str">
        <x:v>Maternal/child health, fertility, family planning, nutrition, sanitation, immunization and household wealth</x:v>
      </x:c>
      <x:c r="L61" s="14" t="str">
        <x:v>Read the sampling and recode documentation carefully; this is a household survey, not a complete health administrative census.</x:v>
      </x:c>
      <x:c r="M61" s="14" t="str">
        <x:v>Official page/catalog observed</x:v>
      </x:c>
      <x:c r="N61" s="14" t="str">
        <x:v>P2</x:v>
      </x:c>
      <x:c r="O61" s="18" t="str">
        <x:v>Not started</x:v>
      </x:c>
      <x:c r="P61" s="96"/>
    </x:row>
    <x:row r="62" ht="62" customHeight="1">
      <x:c r="A62" s="14" t="str">
        <x:v>PKD-061</x:v>
      </x:c>
      <x:c r="B62" s="14" t="str">
        <x:v>A1</x:v>
      </x:c>
      <x:c r="C62" s="14" t="str">
        <x:v>Population / Historical</x:v>
      </x:c>
      <x:c r="D62" s="14" t="str">
        <x:v>PBS Census archive: historical population, education and activity tables</x:v>
      </x:c>
      <x:c r="E62" s="14" t="str">
        <x:v>PBS</x:v>
      </x:c>
      <x:c r="F62" s="14" t="str">
        <x:v>https://www.pbs.gov.pk/censusarchive/</x:v>
      </x:c>
      <x:c r="G62" s="14" t="str"/>
      <x:c r="H62" s="14" t="str">
        <x:v>PDF and Excel tables by province/territory</x:v>
      </x:c>
      <x:c r="I62" s="14" t="str">
        <x:v>Historical census tables including 1998 and earlier series where listed</x:v>
      </x:c>
      <x:c r="J62" s="14" t="str">
        <x:v>National/provincial and selected district/urban-rural splits</x:v>
      </x:c>
      <x:c r="K62" s="14" t="str">
        <x:v>Long-run demographic, educational attainment, economic activity and household trend analysis</x:v>
      </x:c>
      <x:c r="L62" s="14" t="str">
        <x:v>Older categories/boundaries may not align with 2017 or 2023; document concordance assumptions.</x:v>
      </x:c>
      <x:c r="M62" s="14" t="str">
        <x:v>Official page/catalog observed</x:v>
      </x:c>
      <x:c r="N62" s="14" t="str">
        <x:v>P2</x:v>
      </x:c>
      <x:c r="O62" s="18" t="str">
        <x:v>Not started</x:v>
      </x:c>
      <x:c r="P62" s="96"/>
    </x:row>
    <x:row r="63" ht="62" customHeight="1">
      <x:c r="A63" s="14" t="str">
        <x:v>PKD-062</x:v>
      </x:c>
      <x:c r="B63" s="14" t="str">
        <x:v>A1</x:v>
      </x:c>
      <x:c r="C63" s="14" t="str">
        <x:v>Population / Vital statistics</x:v>
      </x:c>
      <x:c r="D63" s="14" t="str">
        <x:v>Pakistan Demographic Survey 2020 microdata</x:v>
      </x:c>
      <x:c r="E63" s="14" t="str">
        <x:v>PBS</x:v>
      </x:c>
      <x:c r="F63" s="14" t="str">
        <x:v>https://www.pbs.gov.pk/pds/</x:v>
      </x:c>
      <x:c r="G63" s="14" t="str">
        <x:v>Microdata/report/questions: https://www.pbs.gov.pk/pds/</x:v>
      </x:c>
      <x:c r="H63" s="14" t="str">
        <x:v>SPSS RAR microdata, codebook, questionnaire, PDF reports and time-series visualizations</x:v>
      </x:c>
      <x:c r="I63" s="14" t="str">
        <x:v>2020; historical PDS reports/tables back to early 2000s</x:v>
      </x:c>
      <x:c r="J63" s="14" t="str">
        <x:v>National demographic estimates; disaggregation depends on released files/design</x:v>
      </x:c>
      <x:c r="K63" s="14" t="str">
        <x:v>Births, deaths, crude birth/death rates, infant mortality, fertility and population change</x:v>
      </x:c>
      <x:c r="L63" s="14" t="str">
        <x:v>Vital events estimates have sampling and recall limits; don't assume the survey captures every vital event. Check sampling, coding scheme and release notes; not equivalent to the larger PDHS household survey.</x:v>
      </x:c>
      <x:c r="M63" s="14" t="str">
        <x:v>Official page/catalog observed</x:v>
      </x:c>
      <x:c r="N63" s="14" t="str">
        <x:v>P1</x:v>
      </x:c>
      <x:c r="O63" s="18" t="str">
        <x:v>Not started</x:v>
      </x:c>
      <x:c r="P63" s="96"/>
    </x:row>
    <x:row r="64" ht="62" customHeight="1">
      <x:c r="A64" s="14" t="str">
        <x:v>PKD-063</x:v>
      </x:c>
      <x:c r="B64" s="14" t="str">
        <x:v>A1</x:v>
      </x:c>
      <x:c r="C64" s="14" t="str">
        <x:v>Poverty / Official estimate</x:v>
      </x:c>
      <x:c r="D64" s="14" t="str">
        <x:v>Pakistan poverty estimation 2024–25</x:v>
      </x:c>
      <x:c r="E64" s="14" t="str">
        <x:v>Planning Commission / Ministry of Planning, Development &amp; Special Initiatives</x:v>
      </x:c>
      <x:c r="F64" s="14" t="str">
        <x:v>https://pc.gov.pk/web/sdgreport</x:v>
      </x:c>
      <x:c r="G64" s="14" t="str">
        <x:v>Official report library: https://pc.gov.pk/web/sdgreport
Other publications: https://pc.gov.pk/web/publication</x:v>
      </x:c>
      <x:c r="H64" s="14" t="str">
        <x:v>Official poverty-estimation PDF based on the Cost of Basic Needs approach and HIES 2024–25; associated poverty and inequality reports.</x:v>
      </x:c>
      <x:c r="I64" s="14" t="str">
        <x:v>2024–25 survey year; released in 2026</x:v>
      </x:c>
      <x:c r="J64" s="14" t="str">
        <x:v>National and provincial; breakdowns depend on report tables</x:v>
      </x:c>
      <x:c r="K64" s="14" t="str">
        <x:v>Poverty line, consumption poverty, poverty trends and comparisons</x:v>
      </x:c>
      <x:c r="L64" s="14" t="str">
        <x:v>The report is a statistical estimate, not public-use household microdata. Retain method and threshold definitions, and avoid mixing with MPI without stating the distinction.</x:v>
      </x:c>
      <x:c r="M64" s="14" t="str">
        <x:v>Official report catalogue observed</x:v>
      </x:c>
      <x:c r="N64" s="14" t="str">
        <x:v>P1</x:v>
      </x:c>
      <x:c r="O64" s="18" t="str">
        <x:v>Not started</x:v>
      </x:c>
      <x:c r="P64" s="96"/>
    </x:row>
    <x:row r="65" ht="62" customHeight="1">
      <x:c r="A65" s="14" t="str">
        <x:v>PKD-064</x:v>
      </x:c>
      <x:c r="B65" s="14" t="str">
        <x:v>A1</x:v>
      </x:c>
      <x:c r="C65" s="14" t="str">
        <x:v>Poverty / SDGs / Development</x:v>
      </x:c>
      <x:c r="D65" s="14" t="str">
        <x:v>Planning Commission SDG, poverty and development report library</x:v>
      </x:c>
      <x:c r="E65" s="14" t="str">
        <x:v>Ministry of Planning, Development &amp; Special Initiatives</x:v>
      </x:c>
      <x:c r="F65" s="14" t="str">
        <x:v>https://pc.gov.pk/web/sdgreport</x:v>
      </x:c>
      <x:c r="G65" s="14" t="str">
        <x:v>Poverty estimation 2024–25 and SDG reports: https://pc.gov.pk/web/sdgreport
Planning Commission publications: https://pc.gov.pk/web/publication</x:v>
      </x:c>
      <x:c r="H65" s="14" t="str">
        <x:v>PDF reports: poverty estimation 2024–25, SDG status, national poverty/inequality and MPI reports</x:v>
      </x:c>
      <x:c r="I65" s="14" t="str">
        <x:v>Latest poverty estimation uses HIES 2024–25; earlier poverty/MPI reports also listed</x:v>
      </x:c>
      <x:c r="J65" s="14" t="str">
        <x:v>National/provincial, district or indicator-specific where provided</x:v>
      </x:c>
      <x:c r="K65" s="14" t="str">
        <x:v>Official national poverty lines, trend estimates, multidimensional deprivation and SDG status</x:v>
      </x:c>
      <x:c r="L65" s="14" t="str">
        <x:v>Poverty estimate is methodology-sensitive; read the official technical note and compare only compatible series. For the 2024–25 poverty estimate, retain the Cost of Basic Needs method and HIES survey-year metadata.</x:v>
      </x:c>
      <x:c r="M65" s="14" t="str">
        <x:v>Official page/catalog observed</x:v>
      </x:c>
      <x:c r="N65" s="14" t="str">
        <x:v>P2</x:v>
      </x:c>
      <x:c r="O65" s="18" t="str">
        <x:v>Not started</x:v>
      </x:c>
      <x:c r="P65" s="96"/>
    </x:row>
    <x:row r="66" ht="62" customHeight="1">
      <x:c r="A66" s="14" t="str">
        <x:v>PKD-065</x:v>
      </x:c>
      <x:c r="B66" s="14" t="str">
        <x:v>A1</x:v>
      </x:c>
      <x:c r="C66" s="14" t="str">
        <x:v>Power / Electricity</x:v>
      </x:c>
      <x:c r="D66" s="14" t="str">
        <x:v>NEPRA annual reports, State of Industry and performance reports</x:v>
      </x:c>
      <x:c r="E66" s="14" t="str">
        <x:v>NEPRA</x:v>
      </x:c>
      <x:c r="F66" s="14" t="str">
        <x:v>https://nepra.org.pk/</x:v>
      </x:c>
      <x:c r="G66" s="14" t="str"/>
      <x:c r="H66" s="14" t="str">
        <x:v>PDF reports, tariff decisions, performance indicators and regulatory publications</x:v>
      </x:c>
      <x:c r="I66" s="14" t="str">
        <x:v>Annual/periodic; current regulatory notifications</x:v>
      </x:c>
      <x:c r="J66" s="14" t="str">
        <x:v>National and distribution/generation/transmission entities</x:v>
      </x:c>
      <x:c r="K66" s="14" t="str">
        <x:v>Power costs, losses, tariffs, service performance, capacity and sector financial sustainability</x:v>
      </x:c>
      <x:c r="L66" s="14" t="str">
        <x:v>Compare regulatory findings with DISCO/CPPA/Government data; units and fiscal years may vary.</x:v>
      </x:c>
      <x:c r="M66" s="14" t="str">
        <x:v>Official page/catalog observed</x:v>
      </x:c>
      <x:c r="N66" s="14" t="str">
        <x:v>P2</x:v>
      </x:c>
      <x:c r="O66" s="18" t="str">
        <x:v>Not started</x:v>
      </x:c>
      <x:c r="P66" s="96"/>
    </x:row>
    <x:row r="67" ht="62" customHeight="1">
      <x:c r="A67" s="14" t="str">
        <x:v>PKD-066</x:v>
      </x:c>
      <x:c r="B67" s="14" t="str">
        <x:v>A1</x:v>
      </x:c>
      <x:c r="C67" s="14" t="str">
        <x:v>Prices / Inflation</x:v>
      </x:c>
      <x:c r="D67" s="14" t="str">
        <x:v>PBS monthly Consumer Price Index (CPI) releases and annexures</x:v>
      </x:c>
      <x:c r="E67" s="14" t="str">
        <x:v>PBS</x:v>
      </x:c>
      <x:c r="F67" s="14" t="str">
        <x:v>https://www.pbs.gov.pk/price-statistics/</x:v>
      </x:c>
      <x:c r="G67" s="14" t="str">
        <x:v>CPI releases, annexures and tables: https://www.pbs.gov.pk/price-statistics/</x:v>
      </x:c>
      <x:c r="H67" s="14" t="str">
        <x:v>Monthly PDF release, Excel annexures, interactive trend chart and methodology</x:v>
      </x:c>
      <x:c r="I67" s="14" t="str">
        <x:v>Monthly; current and historical series on portal</x:v>
      </x:c>
      <x:c r="J67" s="14" t="str">
        <x:v>National, urban/rural, selected cities/centres and expenditure groups</x:v>
      </x:c>
      <x:c r="K67" s="14" t="str">
        <x:v>Inflation, food/non-food prices, urban-rural inflation, item-group price changes and cost-of-living indices</x:v>
      </x:c>
      <x:c r="L67" s="14" t="str">
        <x:v>Index changes and inflation rates are not the same as price levels; note CPI base year and basket changes. Monthly CPI reports include urban/rural and category detail; downloadable annexure format varies by release.</x:v>
      </x:c>
      <x:c r="M67" s="14" t="str">
        <x:v>Official page/catalog observed</x:v>
      </x:c>
      <x:c r="N67" s="14" t="str">
        <x:v>P1</x:v>
      </x:c>
      <x:c r="O67" s="18" t="str">
        <x:v>Not started</x:v>
      </x:c>
      <x:c r="P67" s="96"/>
    </x:row>
    <x:row r="68" ht="62" customHeight="1">
      <x:c r="A68" s="14" t="str">
        <x:v>PKD-067</x:v>
      </x:c>
      <x:c r="B68" s="14" t="str">
        <x:v>A1</x:v>
      </x:c>
      <x:c r="C68" s="14" t="str">
        <x:v>Prices / Inflation</x:v>
      </x:c>
      <x:c r="D68" s="14" t="str">
        <x:v>PBS weekly Sensitive Price Indicator (SPI)</x:v>
      </x:c>
      <x:c r="E68" s="14" t="str">
        <x:v>PBS</x:v>
      </x:c>
      <x:c r="F68" s="14" t="str">
        <x:v>https://www.pbs.gov.pk/price-statistics/</x:v>
      </x:c>
      <x:c r="G68" s="14" t="str">
        <x:v>Weekly SPI releases and tables: https://www.pbs.gov.pk/price-statistics/</x:v>
      </x:c>
      <x:c r="H68" s="14" t="str">
        <x:v>Weekly PDF bulletins and tables</x:v>
      </x:c>
      <x:c r="I68" s="14" t="str">
        <x:v>Weekly; latest bulletins linked from price-statistics page</x:v>
      </x:c>
      <x:c r="J68" s="14" t="str">
        <x:v>National, urban/rural and selected markets/centres</x:v>
      </x:c>
      <x:c r="K68" s="14" t="str">
        <x:v>Track short-term prices for essential items; investigate food-price pressure and differences across locations</x:v>
      </x:c>
      <x:c r="L68" s="14" t="str">
        <x:v>SPI covers a selected basket and is not a complete household cost-of-living measure; avoid comparing unlike baskets. Weekly item basket and market coverage; SPI is not interchangeable with CPI.</x:v>
      </x:c>
      <x:c r="M68" s="14" t="str">
        <x:v>Official page/catalog observed</x:v>
      </x:c>
      <x:c r="N68" s="14" t="str">
        <x:v>P1</x:v>
      </x:c>
      <x:c r="O68" s="18" t="str">
        <x:v>Not started</x:v>
      </x:c>
      <x:c r="P68" s="96"/>
    </x:row>
    <x:row r="69" ht="62" customHeight="1">
      <x:c r="A69" s="14" t="str">
        <x:v>PKD-068</x:v>
      </x:c>
      <x:c r="B69" s="14" t="str">
        <x:v>A1</x:v>
      </x:c>
      <x:c r="C69" s="14" t="str">
        <x:v>Prices / Inflation</x:v>
      </x:c>
      <x:c r="D69" s="14" t="str">
        <x:v>PBS Wholesale Price Index (WPI)</x:v>
      </x:c>
      <x:c r="E69" s="14" t="str">
        <x:v>PBS</x:v>
      </x:c>
      <x:c r="F69" s="14" t="str">
        <x:v>https://www.pbs.gov.pk/price-statistics/</x:v>
      </x:c>
      <x:c r="G69" s="14" t="str">
        <x:v>WPI releases and tables: https://www.pbs.gov.pk/price-statistics/</x:v>
      </x:c>
      <x:c r="H69" s="14" t="str">
        <x:v>Monthly release, charts and tables</x:v>
      </x:c>
      <x:c r="I69" s="14" t="str">
        <x:v>Monthly; index base and available historical series noted on portal</x:v>
      </x:c>
      <x:c r="J69" s="14" t="str">
        <x:v>Selected wholesale markets/cities and national index</x:v>
      </x:c>
      <x:c r="K69" s="14" t="str">
        <x:v>Producer/wholesale price pressure, price pass-through and comparisons with CPI</x:v>
      </x:c>
      <x:c r="L69" s="14" t="str">
        <x:v>Coverage and item basket differ from CPI; WPI cannot be read as consumer inflation. Use the definition and basket/version accompanying each release; WPI measures wholesale prices rather than household living costs.</x:v>
      </x:c>
      <x:c r="M69" s="14" t="str">
        <x:v>Official page/catalog observed</x:v>
      </x:c>
      <x:c r="N69" s="14" t="str">
        <x:v>P1</x:v>
      </x:c>
      <x:c r="O69" s="18" t="str">
        <x:v>Not started</x:v>
      </x:c>
      <x:c r="P69" s="96"/>
    </x:row>
    <x:row r="70" ht="62" customHeight="1">
      <x:c r="A70" s="14" t="str">
        <x:v>PKD-069</x:v>
      </x:c>
      <x:c r="B70" s="14" t="str">
        <x:v>A1</x:v>
      </x:c>
      <x:c r="C70" s="14" t="str">
        <x:v>Procurement / Spending</x:v>
      </x:c>
      <x:c r="D70" s="14" t="str">
        <x:v>Public Procurement Regulatory Authority notices and rules</x:v>
      </x:c>
      <x:c r="E70" s="14" t="str">
        <x:v>PPRA</x:v>
      </x:c>
      <x:c r="F70" s="14" t="str">
        <x:v>https://ppra.gov.pk/</x:v>
      </x:c>
      <x:c r="G70" s="14" t="str"/>
      <x:c r="H70" s="14" t="str">
        <x:v>Tender notices, procurement rules, notices and linked documents</x:v>
      </x:c>
      <x:c r="I70" s="14" t="str">
        <x:v>Ongoing notices and archived publications where available</x:v>
      </x:c>
      <x:c r="J70" s="14" t="str">
        <x:v>Federal procurement and participating agencies</x:v>
      </x:c>
      <x:c r="K70" s="14" t="str">
        <x:v>Procurement opportunity scanning, competitive bidding and public-spending process monitoring</x:v>
      </x:c>
      <x:c r="L70" s="14" t="str">
        <x:v>A tender notice is not a contract-award dataset; check award notices and agency procurement records.</x:v>
      </x:c>
      <x:c r="M70" s="14" t="str">
        <x:v>Official page/catalog observed</x:v>
      </x:c>
      <x:c r="N70" s="14" t="str">
        <x:v>P2</x:v>
      </x:c>
      <x:c r="O70" s="18" t="str">
        <x:v>Not started</x:v>
      </x:c>
      <x:c r="P70" s="96"/>
    </x:row>
    <x:row r="71" ht="62" customHeight="1">
      <x:c r="A71" s="14" t="str">
        <x:v>PKD-070</x:v>
      </x:c>
      <x:c r="B71" s="14" t="str">
        <x:v>A1</x:v>
      </x:c>
      <x:c r="C71" s="14" t="str">
        <x:v>Provincial / Multi-sector</x:v>
      </x:c>
      <x:c r="D71" s="14" t="str">
        <x:v>Balochistan official statistics indicator portal</x:v>
      </x:c>
      <x:c r="E71" s="14" t="str">
        <x:v>Bureau of Statistics, Planning &amp; Development Department, Balochistan</x:v>
      </x:c>
      <x:c r="F71" s="14" t="str">
        <x:v>https://bospnd.balochistan.gov.pk/</x:v>
      </x:c>
      <x:c r="G71" s="14" t="str"/>
      <x:c r="H71" s="14" t="str">
        <x:v>Interactive indicators, PDFs and publication catalogue; district profiles</x:v>
      </x:c>
      <x:c r="I71" s="14" t="str">
        <x:v>297 indicators / 36 districts reported on the portal at time of review; publications include 2024–25 items</x:v>
      </x:c>
      <x:c r="J71" s="14" t="str">
        <x:v>Balochistan, district and indicator level</x:v>
      </x:c>
      <x:c r="K71" s="14" t="str">
        <x:v>Compare deprivation, service access, infrastructure, health, education, development and population patterns</x:v>
      </x:c>
      <x:c r="L71" s="14" t="str">
        <x:v>Check dates, indicator definitions and source notes; older MICS outputs may not reflect current service delivery.</x:v>
      </x:c>
      <x:c r="M71" s="14" t="str">
        <x:v>Official page/catalog observed</x:v>
      </x:c>
      <x:c r="N71" s="14" t="str">
        <x:v>P2</x:v>
      </x:c>
      <x:c r="O71" s="18" t="str">
        <x:v>Not started</x:v>
      </x:c>
      <x:c r="P71" s="96"/>
    </x:row>
    <x:row r="72" ht="62" customHeight="1">
      <x:c r="A72" s="14" t="str">
        <x:v>PKD-071</x:v>
      </x:c>
      <x:c r="B72" s="14" t="str">
        <x:v>A1</x:v>
      </x:c>
      <x:c r="C72" s="14" t="str">
        <x:v>Provincial / Multi-sector</x:v>
      </x:c>
      <x:c r="D72" s="14" t="str">
        <x:v>KP Data Portal and official microdata</x:v>
      </x:c>
      <x:c r="E72" s="14" t="str">
        <x:v>Bureau of Statistics, Khyber Pakhtunkhwa</x:v>
      </x:c>
      <x:c r="F72" s="14" t="str">
        <x:v>https://kpbos.gov.pk/</x:v>
      </x:c>
      <x:c r="G72" s="14" t="str"/>
      <x:c r="H72" s="14" t="str">
        <x:v>Interactive data portal, historical indicators, MICS microdata, development-statistics PDFs and district tables</x:v>
      </x:c>
      <x:c r="I72" s="14" t="str">
        <x:v>Indicator time series reported since 1996; multiple survey rounds</x:v>
      </x:c>
      <x:c r="J72" s="14" t="str">
        <x:v>KP, districts and indicators by sector</x:v>
      </x:c>
      <x:c r="K72" s="14" t="str">
        <x:v>District comparisons across health, education, labour, agriculture, prices, housing, energy and public finance</x:v>
      </x:c>
      <x:c r="L72" s="14" t="str">
        <x:v>Observe the indicator's reference year and whether the source is a survey or administrative record.</x:v>
      </x:c>
      <x:c r="M72" s="14" t="str">
        <x:v>Official page/catalog observed</x:v>
      </x:c>
      <x:c r="N72" s="14" t="str">
        <x:v>P1</x:v>
      </x:c>
      <x:c r="O72" s="18" t="str">
        <x:v>Not started</x:v>
      </x:c>
      <x:c r="P72" s="96"/>
    </x:row>
    <x:row r="73" ht="62" customHeight="1">
      <x:c r="A73" s="14" t="str">
        <x:v>PKD-072</x:v>
      </x:c>
      <x:c r="B73" s="14" t="str">
        <x:v>A1</x:v>
      </x:c>
      <x:c r="C73" s="14" t="str">
        <x:v>Provincial / Multi-sector</x:v>
      </x:c>
      <x:c r="D73" s="14" t="str">
        <x:v>Punjab Publications and Datasets catalogue</x:v>
      </x:c>
      <x:c r="E73" s="14" t="str">
        <x:v>Bureau of Statistics Punjab</x:v>
      </x:c>
      <x:c r="F73" s="14" t="str">
        <x:v>https://bos.punjab.gov.pk/dataset</x:v>
      </x:c>
      <x:c r="G73" s="14" t="str">
        <x:v>Dataset catalogue: https://bos.punjab.gov.pk/dataset
MICS survey page: https://bos.punjab.gov.pk/index.php/mics</x:v>
      </x:c>
      <x:c r="H73" s="14" t="str">
        <x:v>PDF/Excel reports and listed surveys</x:v>
      </x:c>
      <x:c r="I73" s="14" t="str">
        <x:v>Punjab Development Statistics 1972–2025; district profiles 2019–20 to 2023–24; agriculture 2019–24; health 2020–24; education 2013–14 to 2022–23; industrial/employment series 2012–25</x:v>
      </x:c>
      <x:c r="J73" s="14" t="str">
        <x:v>Punjab and district levels as applicable</x:v>
      </x:c>
      <x:c r="K73" s="14" t="str">
        <x:v>Longitudinal provincial comparisons, regional disparities, agriculture, health, education, prices and industry/jobs</x:v>
      </x:c>
      <x:c r="L73" s="14" t="str">
        <x:v>The page lists many reports with variable microdata availability; confirm each downloadable attachment and definitions. Lists Punjab Development Statistics, agriculture, education, health, prices, monthly industry/employment, MICS and specialist women/child-labour surveys.</x:v>
      </x:c>
      <x:c r="M73" s="14" t="str">
        <x:v>Official page/catalog observed</x:v>
      </x:c>
      <x:c r="N73" s="14" t="str">
        <x:v>P2</x:v>
      </x:c>
      <x:c r="O73" s="18" t="str">
        <x:v>Not started</x:v>
      </x:c>
      <x:c r="P73" s="96"/>
    </x:row>
    <x:row r="74" ht="62" customHeight="1">
      <x:c r="A74" s="14" t="str">
        <x:v>PKD-073</x:v>
      </x:c>
      <x:c r="B74" s="14" t="str">
        <x:v>A1</x:v>
      </x:c>
      <x:c r="C74" s="14" t="str">
        <x:v>Provincial / Multi-sector</x:v>
      </x:c>
      <x:c r="D74" s="14" t="str">
        <x:v>Sindh Bureau of Statistics official statistics portal</x:v>
      </x:c>
      <x:c r="E74" s="14" t="str">
        <x:v>Bureau of Statistics Sindh</x:v>
      </x:c>
      <x:c r="F74" s="14" t="str">
        <x:v>https://sbos.sindh.gov.pk/</x:v>
      </x:c>
      <x:c r="G74" s="14" t="str"/>
      <x:c r="H74" s="14" t="str">
        <x:v>Provincial statistics, reports and departmental publications</x:v>
      </x:c>
      <x:c r="I74" s="14" t="str">
        <x:v>Varies by survey and publication</x:v>
      </x:c>
      <x:c r="J74" s="14" t="str">
        <x:v>Sindh, districts and sectors according to each output</x:v>
      </x:c>
      <x:c r="K74" s="14" t="str">
        <x:v>Regional development, education, health, population, prices and social indicators</x:v>
      </x:c>
      <x:c r="L74" s="14" t="str">
        <x:v>Availability of downloadable machine-readable files varies; use the official publication notes.</x:v>
      </x:c>
      <x:c r="M74" s="14" t="str">
        <x:v>Official page/catalog observed</x:v>
      </x:c>
      <x:c r="N74" s="14" t="str">
        <x:v>P2</x:v>
      </x:c>
      <x:c r="O74" s="18" t="str">
        <x:v>Not started</x:v>
      </x:c>
      <x:c r="P74" s="96"/>
    </x:row>
    <x:row r="75" ht="62" customHeight="1">
      <x:c r="A75" s="14" t="str">
        <x:v>PKD-074</x:v>
      </x:c>
      <x:c r="B75" s="14" t="str">
        <x:v>A1</x:v>
      </x:c>
      <x:c r="C75" s="14" t="str">
        <x:v>Provincial public finance</x:v>
      </x:c>
      <x:c r="D75" s="14" t="str">
        <x:v>Sindh Budget Books 2026–27</x:v>
      </x:c>
      <x:c r="E75" s="14" t="str">
        <x:v>Finance Department, Government of Sindh</x:v>
      </x:c>
      <x:c r="F75" s="14" t="str">
        <x:v>https://www.finance.gos.pk/Budget/BudgetBooks</x:v>
      </x:c>
      <x:c r="G75" s="14" t="str"/>
      <x:c r="H75" s="14" t="str">
        <x:v>Budget White Paper, annual budget statements, receipts volumes, pink book and development volumes</x:v>
      </x:c>
      <x:c r="I75" s="14" t="str">
        <x:v>FY2026–27 estimates with historical/revised comparative numbers</x:v>
      </x:c>
      <x:c r="J75" s="14" t="str">
        <x:v>Sindh government and departmental/programme allocations</x:v>
      </x:c>
      <x:c r="K75" s="14" t="str">
        <x:v>Provincial priorities, education/health allocations, development schemes, grants and fiscal decentralization</x:v>
      </x:c>
      <x:c r="L75" s="14" t="str">
        <x:v>Budget allocations are not evidence of execution; compare with accounts/outturn and audit reports.</x:v>
      </x:c>
      <x:c r="M75" s="14" t="str">
        <x:v>Official page/catalog observed</x:v>
      </x:c>
      <x:c r="N75" s="14" t="str">
        <x:v>P1</x:v>
      </x:c>
      <x:c r="O75" s="18" t="str">
        <x:v>Not started</x:v>
      </x:c>
      <x:c r="P75" s="96"/>
    </x:row>
    <x:row r="76" ht="62" customHeight="1">
      <x:c r="A76" s="14" t="str">
        <x:v>PKD-075</x:v>
      </x:c>
      <x:c r="B76" s="14" t="str">
        <x:v>A1</x:v>
      </x:c>
      <x:c r="C76" s="14" t="str">
        <x:v>Public debt</x:v>
      </x:c>
      <x:c r="D76" s="14" t="str">
        <x:v>Public debt bulletins, debt strategy and debt reports</x:v>
      </x:c>
      <x:c r="E76" s="14" t="str">
        <x:v>Finance Division Debt Management Office</x:v>
      </x:c>
      <x:c r="F76" s="14" t="str">
        <x:v>https://www.finance.gov.pk/dpco_publications.html</x:v>
      </x:c>
      <x:c r="G76" s="14" t="str">
        <x:v>https://www.finance.gov.pk/dpco/debt_bulletin_1hy_2026.pdf</x:v>
      </x:c>
      <x:c r="H76" s="14" t="str">
        <x:v>Periodic PDFs, debt strategy and statistical exhibits</x:v>
      </x:c>
      <x:c r="I76" s="14" t="str">
        <x:v>Semiannual/annual; 1HFY26 bulletin covers end-Dec 2025</x:v>
      </x:c>
      <x:c r="J76" s="14" t="str">
        <x:v>Federal public debt and liabilities</x:v>
      </x:c>
      <x:c r="K76" s="14" t="str">
        <x:v>Debt stock, domestic/external composition, maturity structure, currency risk, interest expense and debt sustainability</x:v>
      </x:c>
      <x:c r="L76" s="14" t="str">
        <x:v>Reconcile Finance Division and SBP series; definitions of public debt/guarantees and valuation dates matter.</x:v>
      </x:c>
      <x:c r="M76" s="14" t="str">
        <x:v>Official page/catalog observed</x:v>
      </x:c>
      <x:c r="N76" s="14" t="str">
        <x:v>P2</x:v>
      </x:c>
      <x:c r="O76" s="18" t="str">
        <x:v>Not started</x:v>
      </x:c>
      <x:c r="P76" s="96"/>
    </x:row>
    <x:row r="77" ht="62" customHeight="1">
      <x:c r="A77" s="14" t="str">
        <x:v>PKD-076</x:v>
      </x:c>
      <x:c r="B77" s="14" t="str">
        <x:v>A1</x:v>
      </x:c>
      <x:c r="C77" s="14" t="str">
        <x:v>Public finance / Federal budget</x:v>
      </x:c>
      <x:c r="D77" s="14" t="str">
        <x:v>Federal Budget Documents 2026–27</x:v>
      </x:c>
      <x:c r="E77" s="14" t="str">
        <x:v>Finance Division</x:v>
      </x:c>
      <x:c r="F77" s="14" t="str">
        <x:v>https://www.finance.gov.pk/fb_2026_27.html</x:v>
      </x:c>
      <x:c r="G77" s="14" t="str"/>
      <x:c r="H77" s="14" t="str">
        <x:v>Budget in Brief, annual budget statement, federal receipts, demands for grants, current/development volumes, medium-term performance budget</x:v>
      </x:c>
      <x:c r="I77" s="14" t="str">
        <x:v>FY2026–27 budget; past fiscal-year revised/actual estimates appear in documents</x:v>
      </x:c>
      <x:c r="J77" s="14" t="str">
        <x:v>Federal government; ministry/division/programme where detailed</x:v>
      </x:c>
      <x:c r="K77" s="14" t="str">
        <x:v>Budget composition, sectoral allocations, grants, gender/climate tagging, debt financing and expenditure priorities</x:v>
      </x:c>
      <x:c r="L77" s="14" t="str">
        <x:v>Budget estimates are not actual expenditure. Compare against revised estimates and audited outturns.</x:v>
      </x:c>
      <x:c r="M77" s="14" t="str">
        <x:v>Official page/catalog observed</x:v>
      </x:c>
      <x:c r="N77" s="14" t="str">
        <x:v>P1</x:v>
      </x:c>
      <x:c r="O77" s="18" t="str">
        <x:v>Not started</x:v>
      </x:c>
      <x:c r="P77" s="96"/>
    </x:row>
    <x:row r="78" ht="62" customHeight="1">
      <x:c r="A78" s="14" t="str">
        <x:v>PKD-077</x:v>
      </x:c>
      <x:c r="B78" s="14" t="str">
        <x:v>A1</x:v>
      </x:c>
      <x:c r="C78" s="14" t="str">
        <x:v>Public finance / Federal budget</x:v>
      </x:c>
      <x:c r="D78" s="14" t="str">
        <x:v>Federal Budget in Brief 2026–27</x:v>
      </x:c>
      <x:c r="E78" s="14" t="str">
        <x:v>Finance Division</x:v>
      </x:c>
      <x:c r="F78" s="14" t="str">
        <x:v>https://www.finance.gov.pk/fb_2026_27.html</x:v>
      </x:c>
      <x:c r="G78" s="14" t="str">
        <x:v>https://www.finance.gov.pk/budget/budget_2026_27/Budget_in_Brief.pdf</x:v>
      </x:c>
      <x:c r="H78" s="14" t="str">
        <x:v>PDF with revenue, expenditure, fiscal deficit, provincial shares, subsidies, grants, PSDP and functional classifications</x:v>
      </x:c>
      <x:c r="I78" s="14" t="str">
        <x:v>FY2026–27 estimates; comparative previous-year figures</x:v>
      </x:c>
      <x:c r="J78" s="14" t="str">
        <x:v>Federal / national fiscal framework</x:v>
      </x:c>
      <x:c r="K78" s="14" t="str">
        <x:v>Rapidly parse spending composition, revenue projections, subsidies and development allocations</x:v>
      </x:c>
      <x:c r="L78" s="14" t="str">
        <x:v>Budget taxonomy differs from functional/COFOG categories; keep original line item and fiscal-year status.</x:v>
      </x:c>
      <x:c r="M78" s="14" t="str">
        <x:v>Official page/catalog observed</x:v>
      </x:c>
      <x:c r="N78" s="14" t="str">
        <x:v>P1</x:v>
      </x:c>
      <x:c r="O78" s="18" t="str">
        <x:v>Not started</x:v>
      </x:c>
      <x:c r="P78" s="96"/>
    </x:row>
    <x:row r="79" ht="62" customHeight="1">
      <x:c r="A79" s="14" t="str">
        <x:v>PKD-078</x:v>
      </x:c>
      <x:c r="B79" s="14" t="str">
        <x:v>A1</x:v>
      </x:c>
      <x:c r="C79" s="14" t="str">
        <x:v>Public finance / Provincial</x:v>
      </x:c>
      <x:c r="D79" s="14" t="str">
        <x:v>Punjab provincial budget documents</x:v>
      </x:c>
      <x:c r="E79" s="14" t="str">
        <x:v>Finance Department, Government of Punjab</x:v>
      </x:c>
      <x:c r="F79" s="14" t="str">
        <x:v>https://finance.punjab.gov.pk/</x:v>
      </x:c>
      <x:c r="G79" s="14" t="str"/>
      <x:c r="H79" s="14" t="str">
        <x:v>Budget speech, white papers, demands for grants, budget estimates and development programme documents</x:v>
      </x:c>
      <x:c r="I79" s="14" t="str">
        <x:v>Annual budgets and historical fiscal years</x:v>
      </x:c>
      <x:c r="J79" s="14" t="str">
        <x:v>Punjab, department and programme</x:v>
      </x:c>
      <x:c r="K79" s="14" t="str">
        <x:v>Provincial expenditure priorities, education/health development allocation and district schemes</x:v>
      </x:c>
      <x:c r="L79" s="14" t="str">
        <x:v>Use official outturn/accounts and audit reports for actual spending, not just budgeted amounts.</x:v>
      </x:c>
      <x:c r="M79" s="14" t="str">
        <x:v>Official page/catalog observed</x:v>
      </x:c>
      <x:c r="N79" s="14" t="str">
        <x:v>P1</x:v>
      </x:c>
      <x:c r="O79" s="18" t="str">
        <x:v>Not started</x:v>
      </x:c>
      <x:c r="P79" s="96"/>
    </x:row>
    <x:row r="80" ht="62" customHeight="1">
      <x:c r="A80" s="14" t="str">
        <x:v>PKD-079</x:v>
      </x:c>
      <x:c r="B80" s="14" t="str">
        <x:v>A1</x:v>
      </x:c>
      <x:c r="C80" s="14" t="str">
        <x:v>Public finance / Provincial</x:v>
      </x:c>
      <x:c r="D80" s="14" t="str">
        <x:v>Sindh budget books 2026–27</x:v>
      </x:c>
      <x:c r="E80" s="14" t="str">
        <x:v>Finance Department, Government of Sindh</x:v>
      </x:c>
      <x:c r="F80" s="14" t="str">
        <x:v>https://www.finance.gos.pk/Budget/BudgetBooks</x:v>
      </x:c>
      <x:c r="G80" s="14" t="str"/>
      <x:c r="H80" s="14" t="str">
        <x:v>Budget books, receipts estimates, pink books, annual statements and development volumes</x:v>
      </x:c>
      <x:c r="I80" s="14" t="str">
        <x:v>FY2026–27 and archives</x:v>
      </x:c>
      <x:c r="J80" s="14" t="str">
        <x:v>Sindh departments, programmes and development schemes</x:v>
      </x:c>
      <x:c r="K80" s="14" t="str">
        <x:v>Provincial budget, service delivery funding, development allocation and fiscal federalism</x:v>
      </x:c>
      <x:c r="L80" s="14" t="str">
        <x:v>Line-item classification and budget execution may not be directly comparable with other provinces.</x:v>
      </x:c>
      <x:c r="M80" s="14" t="str">
        <x:v>Official page/catalog observed</x:v>
      </x:c>
      <x:c r="N80" s="14" t="str">
        <x:v>P1</x:v>
      </x:c>
      <x:c r="O80" s="18" t="str">
        <x:v>Not started</x:v>
      </x:c>
      <x:c r="P80" s="96"/>
    </x:row>
    <x:row r="81" ht="62" customHeight="1">
      <x:c r="A81" s="14" t="str">
        <x:v>PKD-080</x:v>
      </x:c>
      <x:c r="B81" s="14" t="str">
        <x:v>A1</x:v>
      </x:c>
      <x:c r="C81" s="14" t="str">
        <x:v>Rural infrastructure / Agriculture</x:v>
      </x:c>
      <x:c r="D81" s="14" t="str">
        <x:v>Mouza Census 2020 microdata and dashboard</x:v>
      </x:c>
      <x:c r="E81" s="14" t="str">
        <x:v>PBS</x:v>
      </x:c>
      <x:c r="F81" s="14" t="str">
        <x:v>https://www.pbs.gov.pk/mouza-census/</x:v>
      </x:c>
      <x:c r="G81" s="14" t="str"/>
      <x:c r="H81" s="14" t="str">
        <x:v>SPSS, Excel, questionnaire, form and instructional manual; dashboard and reports</x:v>
      </x:c>
      <x:c r="I81" s="14" t="str">
        <x:v>2020; historical 2008 microdata also offered</x:v>
      </x:c>
      <x:c r="J81" s="14" t="str">
        <x:v>Village/mouza-level coverage across provinces, AJK and GB</x:v>
      </x:c>
      <x:c r="K81" s="14" t="str">
        <x:v>Rural infrastructure, utilities, facilities, agricultural access, community services and village-level deprivation</x:v>
      </x:c>
      <x:c r="L81" s="14" t="str">
        <x:v>Mouza boundaries and administrative names need harmonization; inspect the questionnaire and codebook.</x:v>
      </x:c>
      <x:c r="M81" s="14" t="str">
        <x:v>Official page/catalog observed</x:v>
      </x:c>
      <x:c r="N81" s="14" t="str">
        <x:v>P1</x:v>
      </x:c>
      <x:c r="O81" s="18" t="str">
        <x:v>Not started</x:v>
      </x:c>
      <x:c r="P81" s="96"/>
    </x:row>
    <x:row r="82" ht="62" customHeight="1">
      <x:c r="A82" s="14" t="str">
        <x:v>PKD-081</x:v>
      </x:c>
      <x:c r="B82" s="14" t="str">
        <x:v>A1</x:v>
      </x:c>
      <x:c r="C82" s="14" t="str">
        <x:v>Social protection</x:v>
      </x:c>
      <x:c r="D82" s="14" t="str">
        <x:v>Benazir Income Support Programme publications and programme statistics</x:v>
      </x:c>
      <x:c r="E82" s="14" t="str">
        <x:v>BISP</x:v>
      </x:c>
      <x:c r="F82" s="14" t="str">
        <x:v>https://www.bisp.gov.pk/</x:v>
      </x:c>
      <x:c r="G82" s="14" t="str"/>
      <x:c r="H82" s="14" t="str">
        <x:v>Annual reports, programme releases, beneficiary and payment summaries</x:v>
      </x:c>
      <x:c r="I82" s="14" t="str">
        <x:v>Periodic, programme years and payment cycles</x:v>
      </x:c>
      <x:c r="J82" s="14" t="str">
        <x:v>National/provincial/district where publication allows</x:v>
      </x:c>
      <x:c r="K82" s="14" t="str">
        <x:v>Social protection coverage, payment trends, targeting, household welfare and fiscal support</x:v>
      </x:c>
      <x:c r="L82" s="14" t="str">
        <x:v>Administrative beneficiary counts are not the same as poverty prevalence; deduplicate and note eligibility rules.</x:v>
      </x:c>
      <x:c r="M82" s="14" t="str">
        <x:v>Official page/catalog observed</x:v>
      </x:c>
      <x:c r="N82" s="14" t="str">
        <x:v>P2</x:v>
      </x:c>
      <x:c r="O82" s="18" t="str">
        <x:v>Not started</x:v>
      </x:c>
      <x:c r="P82" s="96"/>
    </x:row>
    <x:row r="83" ht="62" customHeight="1">
      <x:c r="A83" s="14" t="str">
        <x:v>PKD-082</x:v>
      </x:c>
      <x:c r="B83" s="14" t="str">
        <x:v>A1</x:v>
      </x:c>
      <x:c r="C83" s="14" t="str">
        <x:v>Tax / Public finance</x:v>
      </x:c>
      <x:c r="D83" s="14" t="str">
        <x:v>FBR Tax Expenditure Report 2025</x:v>
      </x:c>
      <x:c r="E83" s="14" t="str">
        <x:v>Federal Board of Revenue (FBR)</x:v>
      </x:c>
      <x:c r="F83" s="14" t="str">
        <x:v>https://www.fbr.gov.pk/</x:v>
      </x:c>
      <x:c r="G83" s="14" t="str">
        <x:v>https://download1.fbr.gov.pk/Docs/202595159423458TaxExpenditureReport2025.pdf</x:v>
      </x:c>
      <x:c r="H83" s="14" t="str">
        <x:v>PDF report with federal tax exemptions, concessions and estimated revenue foregone</x:v>
      </x:c>
      <x:c r="I83" s="14" t="str">
        <x:v>Report 2025; estimates based on FY2023–24</x:v>
      </x:c>
      <x:c r="J83" s="14" t="str">
        <x:v>Federal taxes and tax categories</x:v>
      </x:c>
      <x:c r="K83" s="14" t="str">
        <x:v>Tax expenditures, exemptions by tax type, revenue foregone and distribution of tax concessions</x:v>
      </x:c>
      <x:c r="L83" s="14" t="str">
        <x:v>Tax-expenditure figures are estimates and depend on benchmark tax law and estimation approach.</x:v>
      </x:c>
      <x:c r="M83" s="14" t="str">
        <x:v>Official page/catalog observed</x:v>
      </x:c>
      <x:c r="N83" s="14" t="str">
        <x:v>P2</x:v>
      </x:c>
      <x:c r="O83" s="18" t="str">
        <x:v>Not started</x:v>
      </x:c>
      <x:c r="P83" s="96"/>
    </x:row>
    <x:row r="84" ht="62" customHeight="1">
      <x:c r="A84" s="14" t="str">
        <x:v>PKD-083</x:v>
      </x:c>
      <x:c r="B84" s="14" t="str">
        <x:v>A1</x:v>
      </x:c>
      <x:c r="C84" s="14" t="str">
        <x:v>Tax / Revenue</x:v>
      </x:c>
      <x:c r="D84" s="14" t="str">
        <x:v>FBR revenue collection, yearbooks and tax statistics</x:v>
      </x:c>
      <x:c r="E84" s="14" t="str">
        <x:v>FBR</x:v>
      </x:c>
      <x:c r="F84" s="14" t="str">
        <x:v>https://www.fbr.gov.pk/</x:v>
      </x:c>
      <x:c r="G84" s="14" t="str"/>
      <x:c r="H84" s="14" t="str">
        <x:v>Monthly releases, annual yearbooks, revenue tables and official announcements</x:v>
      </x:c>
      <x:c r="I84" s="14" t="str">
        <x:v>Monthly and fiscal-year reporting</x:v>
      </x:c>
      <x:c r="J84" s="14" t="str">
        <x:v>National; tax type, tax office, taxpayer/administrative categories depending on table</x:v>
      </x:c>
      <x:c r="K84" s="14" t="str">
        <x:v>Tax yield, direct/indirect tax mix, collection timing, revenue administration and fiscal forecasting</x:v>
      </x:c>
      <x:c r="L84" s="14" t="str">
        <x:v>Separate gross collection, net collection, refunds, targets and actuals; annual totals can be revised.</x:v>
      </x:c>
      <x:c r="M84" s="14" t="str">
        <x:v>Official page/catalog observed</x:v>
      </x:c>
      <x:c r="N84" s="14" t="str">
        <x:v>P2</x:v>
      </x:c>
      <x:c r="O84" s="18" t="str">
        <x:v>Not started</x:v>
      </x:c>
      <x:c r="P84" s="96"/>
    </x:row>
    <x:row r="85" ht="62" customHeight="1">
      <x:c r="A85" s="14" t="str">
        <x:v>PKD-084</x:v>
      </x:c>
      <x:c r="B85" s="14" t="str">
        <x:v>A1</x:v>
      </x:c>
      <x:c r="C85" s="14" t="str">
        <x:v>Technology exports</x:v>
      </x:c>
      <x:c r="D85" s="14" t="str">
        <x:v>PBS IT services statistics</x:v>
      </x:c>
      <x:c r="E85" s="14" t="str">
        <x:v>PBS</x:v>
      </x:c>
      <x:c r="F85" s="14" t="str">
        <x:v>https://www.pbs.gov.pk/</x:v>
      </x:c>
      <x:c r="G85" s="14" t="str"/>
      <x:c r="H85" s="14" t="str">
        <x:v>Exports/statistical releases and tables where published</x:v>
      </x:c>
      <x:c r="I85" s="14" t="str">
        <x:v>Periodic series; verify current coverage</x:v>
      </x:c>
      <x:c r="J85" s="14" t="str">
        <x:v>National</x:v>
      </x:c>
      <x:c r="K85" s="14" t="str">
        <x:v>Compare IT service exports against broader service exports, goods exports and labour-market skill trends</x:v>
      </x:c>
      <x:c r="L85" s="14" t="str">
        <x:v>Use SBP's services-export series as a cross-check; definitions and classifications may differ.</x:v>
      </x:c>
      <x:c r="M85" s="14" t="str">
        <x:v>Official page/catalog observed</x:v>
      </x:c>
      <x:c r="N85" s="14" t="str">
        <x:v>P2</x:v>
      </x:c>
      <x:c r="O85" s="18" t="str">
        <x:v>Not started</x:v>
      </x:c>
      <x:c r="P85" s="96"/>
    </x:row>
    <x:row r="86" ht="62" customHeight="1">
      <x:c r="A86" s="14" t="str">
        <x:v>PKD-085</x:v>
      </x:c>
      <x:c r="B86" s="14" t="str">
        <x:v>A1</x:v>
      </x:c>
      <x:c r="C86" s="14" t="str">
        <x:v>Telecom / Digital access</x:v>
      </x:c>
      <x:c r="D86" s="14" t="str">
        <x:v>Pakistan Telecommunication Authority industry indicators and annual reports</x:v>
      </x:c>
      <x:c r="E86" s="14" t="str">
        <x:v>PTA</x:v>
      </x:c>
      <x:c r="F86" s="14" t="str">
        <x:v>https://www.pta.gov.pk/</x:v>
      </x:c>
      <x:c r="G86" s="14" t="str"/>
      <x:c r="H86" s="14" t="str">
        <x:v>Annual reports, telecom statistics, subscriptions and broadband releases</x:v>
      </x:c>
      <x:c r="I86" s="14" t="str">
        <x:v>Monthly/quarterly/annual releases depending on series</x:v>
      </x:c>
      <x:c r="J86" s="14" t="str">
        <x:v>National and sometimes province/operator</x:v>
      </x:c>
      <x:c r="K86" s="14" t="str">
        <x:v>Mobile/broadband subscriptions, internet expansion, telecom market development and digital access context</x:v>
      </x:c>
      <x:c r="L86" s="14" t="str">
        <x:v>Subscriptions are not equivalent to unique people or households; multiple SIMs and active/inactive status matter.</x:v>
      </x:c>
      <x:c r="M86" s="14" t="str">
        <x:v>Official page/catalog observed</x:v>
      </x:c>
      <x:c r="N86" s="14" t="str">
        <x:v>P2</x:v>
      </x:c>
      <x:c r="O86" s="18" t="str">
        <x:v>Not started</x:v>
      </x:c>
      <x:c r="P86" s="96"/>
    </x:row>
    <x:row r="87" ht="62" customHeight="1">
      <x:c r="A87" s="14" t="str">
        <x:v>PKD-086</x:v>
      </x:c>
      <x:c r="B87" s="14" t="str">
        <x:v>A1</x:v>
      </x:c>
      <x:c r="C87" s="14" t="str">
        <x:v>Trade / Exports</x:v>
      </x:c>
      <x:c r="D87" s="14" t="str">
        <x:v>Ministry of Commerce monthly review of trade statistics</x:v>
      </x:c>
      <x:c r="E87" s="14" t="str">
        <x:v>Ministry of Commerce</x:v>
      </x:c>
      <x:c r="F87" s="14" t="str">
        <x:v>https://www.commerce.gov.pk/monthly-review-of-trade-statistics/</x:v>
      </x:c>
      <x:c r="G87" s="14" t="str"/>
      <x:c r="H87" s="14" t="str">
        <x:v>Monthly PDF/Excel-style reports and data summaries</x:v>
      </x:c>
      <x:c r="I87" s="14" t="str">
        <x:v>Monthly; latest monthly reviews and historical archives</x:v>
      </x:c>
      <x:c r="J87" s="14" t="str">
        <x:v>National; product, market and partner summaries depending on release</x:v>
      </x:c>
      <x:c r="K87" s="14" t="str">
        <x:v>Quick tracking of exports/imports, trade policy and commodity/market shifts</x:v>
      </x:c>
      <x:c r="L87" s="14" t="str">
        <x:v>For granular commodity-level primary tables use PBS monthly commodity files and record the same reference month.</x:v>
      </x:c>
      <x:c r="M87" s="14" t="str">
        <x:v>Official page/catalog observed</x:v>
      </x:c>
      <x:c r="N87" s="14" t="str">
        <x:v>P2</x:v>
      </x:c>
      <x:c r="O87" s="18" t="str">
        <x:v>Not started</x:v>
      </x:c>
      <x:c r="P87" s="96"/>
    </x:row>
    <x:row r="88" ht="62" customHeight="1">
      <x:c r="A88" s="14" t="str">
        <x:v>PKD-087</x:v>
      </x:c>
      <x:c r="B88" s="14" t="str">
        <x:v>A1</x:v>
      </x:c>
      <x:c r="C88" s="14" t="str">
        <x:v>Trade / Industry</x:v>
      </x:c>
      <x:c r="D88" s="14" t="str">
        <x:v>PBS external trade statistics and monthly commodity files</x:v>
      </x:c>
      <x:c r="E88" s="14" t="str">
        <x:v>PBS</x:v>
      </x:c>
      <x:c r="F88" s="14" t="str">
        <x:v>https://www.pbs.gov.pk/external-trade-statistics/</x:v>
      </x:c>
      <x:c r="G88" s="14" t="str">
        <x:v>Monthly import/export XLSX and archive: https://www.pbs.gov.pk/external-trade-statistics/</x:v>
      </x:c>
      <x:c r="H88" s="14" t="str">
        <x:v>Excel monthly exports/imports/revised summary files; PDF analytical reports; interactive trends</x:v>
      </x:c>
      <x:c r="I88" s="14" t="str">
        <x:v>Monthly, quarterly and annual; historical trend shown from FY2006–07 through FY2024–25; releases continue</x:v>
      </x:c>
      <x:c r="J88" s="14" t="str">
        <x:v>National, commodity/HS codes, country/partner and services trade as available</x:v>
      </x:c>
      <x:c r="K88" s="14" t="str">
        <x:v>Trade balances, commodity dependence, partner concentration, import substitution, export upgrading and monthly seasonality</x:v>
      </x:c>
      <x:c r="L88" s="14" t="str">
        <x:v>Check customs valuation, revisions, units, HS revisions and whether goods or services are represented. Includes commodity and partner details; trade values can be revised and may differ by customs/service-trade definition.</x:v>
      </x:c>
      <x:c r="M88" s="14" t="str">
        <x:v>Official page/catalog observed</x:v>
      </x:c>
      <x:c r="N88" s="14" t="str">
        <x:v>P1</x:v>
      </x:c>
      <x:c r="O88" s="18" t="str">
        <x:v>Not started</x:v>
      </x:c>
      <x:c r="P88" s="96"/>
    </x:row>
    <x:row r="89" ht="62" customHeight="1">
      <x:c r="A89" s="14" t="str">
        <x:v>PKD-088</x:v>
      </x:c>
      <x:c r="B89" s="14" t="str">
        <x:v>A1</x:v>
      </x:c>
      <x:c r="C89" s="14" t="str">
        <x:v>Trade / Interactive</x:v>
      </x:c>
      <x:c r="D89" s="14" t="str">
        <x:v>Pakistan Single Window Trade Insights</x:v>
      </x:c>
      <x:c r="E89" s="14" t="str">
        <x:v>Pakistan Single Window</x:v>
      </x:c>
      <x:c r="F89" s="14" t="str">
        <x:v>https://psw.gov.pk/trading-insights</x:v>
      </x:c>
      <x:c r="G89" s="14" t="str"/>
      <x:c r="H89" s="14" t="str">
        <x:v>Interactive charts, country maps, monthly time series and commodity selectors</x:v>
      </x:c>
      <x:c r="I89" s="14" t="str">
        <x:v>FY2020–21 to FY2024–25 as described on page; confirm refresh coverage</x:v>
      </x:c>
      <x:c r="J89" s="14" t="str">
        <x:v>National, country of origin/destination, commodity and month</x:v>
      </x:c>
      <x:c r="K89" s="14" t="str">
        <x:v>Trade partner concentration, commodity dependence, seasonality and corridor/transit flows</x:v>
      </x:c>
      <x:c r="L89" s="14" t="str">
        <x:v>Dashboard's published coverage window may differ from the newest PBS release; confirm latest year and source notes.</x:v>
      </x:c>
      <x:c r="M89" s="14" t="str">
        <x:v>Official page/catalog observed</x:v>
      </x:c>
      <x:c r="N89" s="14" t="str">
        <x:v>P2</x:v>
      </x:c>
      <x:c r="O89" s="18" t="str">
        <x:v>Not started</x:v>
      </x:c>
      <x:c r="P89" s="96"/>
    </x:row>
    <x:row r="90" ht="62" customHeight="1">
      <x:c r="A90" s="14" t="str">
        <x:v>PKD-089</x:v>
      </x:c>
      <x:c r="B90" s="14" t="str">
        <x:v>A1</x:v>
      </x:c>
      <x:c r="C90" s="14" t="str">
        <x:v>Water / Irrigation</x:v>
      </x:c>
      <x:c r="D90" s="14" t="str">
        <x:v>Indus River System Authority water allocation and river system information</x:v>
      </x:c>
      <x:c r="E90" s="14" t="str">
        <x:v>IRSA</x:v>
      </x:c>
      <x:c r="F90" s="14" t="str">
        <x:v>https://pakirsa.gov.pk/</x:v>
      </x:c>
      <x:c r="G90" s="14" t="str"/>
      <x:c r="H90" s="14" t="str">
        <x:v>Water distribution/allocation notices and official reports</x:v>
      </x:c>
      <x:c r="I90" s="14" t="str">
        <x:v>Seasonal, daily/periodic as published</x:v>
      </x:c>
      <x:c r="J90" s="14" t="str">
        <x:v>Indus system and provincial allocation</x:v>
      </x:c>
      <x:c r="K90" s="14" t="str">
        <x:v>Water availability, provincial allocations, seasonal scarcity and water-agriculture links</x:v>
      </x:c>
      <x:c r="L90" s="14" t="str">
        <x:v>Allocated, released, received and consumed water are different measures; note measurement point and unit.</x:v>
      </x:c>
      <x:c r="M90" s="14" t="str">
        <x:v>Official page/catalog observed</x:v>
      </x:c>
      <x:c r="N90" s="14" t="str">
        <x:v>P2</x:v>
      </x:c>
      <x:c r="O90" s="18" t="str">
        <x:v>Not started</x:v>
      </x:c>
      <x:c r="P90" s="96"/>
    </x:row>
    <x:row r="91" ht="62" customHeight="1">
      <x:c r="A91" s="14" t="str">
        <x:v>PKD-090</x:v>
      </x:c>
      <x:c r="B91" s="14" t="str">
        <x:v>A2</x:v>
      </x:c>
      <x:c r="C91" s="14" t="str">
        <x:v>Agriculture / Food</x:v>
      </x:c>
      <x:c r="D91" s="14" t="str">
        <x:v>FAOSTAT</x:v>
      </x:c>
      <x:c r="E91" s="14" t="str">
        <x:v>Food and Agriculture Organization of the United Nations</x:v>
      </x:c>
      <x:c r="F91" s="14" t="str">
        <x:v>https://www.fao.org/faostat/en/</x:v>
      </x:c>
      <x:c r="G91" s="14" t="str"/>
      <x:c r="H91" s="14" t="str">
        <x:v>Interactive data explorer, bulk downloadable tables and APIs</x:v>
      </x:c>
      <x:c r="I91" s="14" t="str">
        <x:v>Long-run agricultural, food and environmental series</x:v>
      </x:c>
      <x:c r="J91" s="14" t="str">
        <x:v>Pakistan, crops/commodities and international comparisons</x:v>
      </x:c>
      <x:c r="K91" s="14" t="str">
        <x:v>Crop output/yield, food balance, land use, livestock, prices, trade and emissions</x:v>
      </x:c>
      <x:c r="L91" s="14" t="str">
        <x:v>Definitions, calendar/fiscal year and revisions can differ from Pakistan crop reporting; preserve FAOSTAT item codes.</x:v>
      </x:c>
      <x:c r="M91" s="14" t="str">
        <x:v>Official page/catalog observed</x:v>
      </x:c>
      <x:c r="N91" s="14" t="str">
        <x:v>P1</x:v>
      </x:c>
      <x:c r="O91" s="18" t="str">
        <x:v>Not started</x:v>
      </x:c>
      <x:c r="P91" s="96"/>
    </x:row>
    <x:row r="92" ht="62" customHeight="1">
      <x:c r="A92" s="14" t="str">
        <x:v>PKD-091</x:v>
      </x:c>
      <x:c r="B92" s="14" t="str">
        <x:v>A2</x:v>
      </x:c>
      <x:c r="C92" s="14" t="str">
        <x:v>Business / Firms / Microdata</x:v>
      </x:c>
      <x:c r="D92" s="14" t="str">
        <x:v>World Bank Enterprise Survey 2022 — Pakistan firm data</x:v>
      </x:c>
      <x:c r="E92" s="14" t="str">
        <x:v>World Bank Enterprise Surveys</x:v>
      </x:c>
      <x:c r="F92" s="14" t="str">
        <x:v>https://microdata.worldbank.org/catalog/6461</x:v>
      </x:c>
      <x:c r="G92" s="14" t="str">
        <x:v>Study page: https://microdata.worldbank.org/catalog/6461
Data portal: https://www.enterprisesurveys.org/en/data</x:v>
      </x:c>
      <x:c r="H92" s="14" t="str">
        <x:v>Firm-level survey data with questionnaire and metadata, including finance, infrastructure, corruption, competition, sales, employment and perceived business constraints; Stata data is listed.</x:v>
      </x:c>
      <x:c r="I92" s="14" t="str">
        <x:v>2022 survey wave</x:v>
      </x:c>
      <x:c r="J92" s="14" t="str">
        <x:v>Sampled formal private-sector establishments; national/sector/regional inference per technical report</x:v>
      </x:c>
      <x:c r="K92" s="14" t="str">
        <x:v>Business climate, firm constraints, job creation, productivity proxies and sector comparisons</x:v>
      </x:c>
      <x:c r="L92" s="14" t="str">
        <x:v>Survey weights, target population, exclusions, and respondent perceptions must be checked; this is not a census of all businesses or current job vacancies.</x:v>
      </x:c>
      <x:c r="M92" s="14" t="str">
        <x:v>Official World Bank Microdata catalogue observed</x:v>
      </x:c>
      <x:c r="N92" s="14" t="str">
        <x:v>P1</x:v>
      </x:c>
      <x:c r="O92" s="18" t="str">
        <x:v>Not started</x:v>
      </x:c>
      <x:c r="P92" s="96"/>
    </x:row>
    <x:row r="93" ht="62" customHeight="1">
      <x:c r="A93" s="14" t="str">
        <x:v>PKD-092</x:v>
      </x:c>
      <x:c r="B93" s="14" t="str">
        <x:v>A2</x:v>
      </x:c>
      <x:c r="C93" s="14" t="str">
        <x:v>Business / Jobs</x:v>
      </x:c>
      <x:c r="D93" s="14" t="str">
        <x:v>World Bank Enterprise Survey 2022 — Pakistan firm-level dataset</x:v>
      </x:c>
      <x:c r="E93" s="14" t="str">
        <x:v>World Bank Group</x:v>
      </x:c>
      <x:c r="F93" s="14" t="str">
        <x:v>https://microdata.worldbank.org/catalog/6461</x:v>
      </x:c>
      <x:c r="G93" s="14" t="str">
        <x:v>https://www.enterprisesurveys.org/en/data</x:v>
      </x:c>
      <x:c r="H93" s="14" t="str">
        <x:v>Stata .dta file, questionnaire, metadata, PDF documentation</x:v>
      </x:c>
      <x:c r="I93" s="14" t="str">
        <x:v>2022; sample includes about 1,300 firms in the catalog metadata</x:v>
      </x:c>
      <x:c r="J93" s="14" t="str">
        <x:v>Firms by sector, size and location/stratum as released</x:v>
      </x:c>
      <x:c r="K93" s="14" t="str">
        <x:v>Business obstacles, access to finance, electricity, corruption exposure, competition, informality and firm performance</x:v>
      </x:c>
      <x:c r="L93" s="14" t="str">
        <x:v>Survey represents eligible formal firms under its sampling design, not all informal businesses or all Pakistani employers.</x:v>
      </x:c>
      <x:c r="M93" s="14" t="str">
        <x:v>Official page/catalog observed</x:v>
      </x:c>
      <x:c r="N93" s="14" t="str">
        <x:v>P1</x:v>
      </x:c>
      <x:c r="O93" s="18" t="str">
        <x:v>Not started</x:v>
      </x:c>
      <x:c r="P93" s="96"/>
    </x:row>
    <x:row r="94" ht="62" customHeight="1">
      <x:c r="A94" s="14" t="str">
        <x:v>PKD-093</x:v>
      </x:c>
      <x:c r="B94" s="14" t="str">
        <x:v>A2</x:v>
      </x:c>
      <x:c r="C94" s="14" t="str">
        <x:v>Children / Gender / Health</x:v>
      </x:c>
      <x:c r="D94" s="14" t="str">
        <x:v>UNICEF Data Pakistan country profile</x:v>
      </x:c>
      <x:c r="E94" s="14" t="str">
        <x:v>UNICEF</x:v>
      </x:c>
      <x:c r="F94" s="14" t="str">
        <x:v>https://data.unicef.org/country/pak/</x:v>
      </x:c>
      <x:c r="G94" s="14" t="str"/>
      <x:c r="H94" s="14" t="str">
        <x:v>Country tables, charts, reports and indicator downloads/links</x:v>
      </x:c>
      <x:c r="I94" s="14" t="str">
        <x:v>Indicator-specific latest year; many historical series</x:v>
      </x:c>
      <x:c r="J94" s="14" t="str">
        <x:v>National and disaggregations where data permit</x:v>
      </x:c>
      <x:c r="K94" s="14" t="str">
        <x:v>Child health, education, nutrition, child labour, birth registration, gender and protection</x:v>
      </x:c>
      <x:c r="L94" s="14" t="str">
        <x:v>Some indicators are estimates from global databases; verify underlying survey year and source.</x:v>
      </x:c>
      <x:c r="M94" s="14" t="str">
        <x:v>Official page/catalog observed</x:v>
      </x:c>
      <x:c r="N94" s="14" t="str">
        <x:v>P2</x:v>
      </x:c>
      <x:c r="O94" s="18" t="str">
        <x:v>Not started</x:v>
      </x:c>
      <x:c r="P94" s="96"/>
    </x:row>
    <x:row r="95" ht="62" customHeight="1">
      <x:c r="A95" s="14" t="str">
        <x:v>PKD-094</x:v>
      </x:c>
      <x:c r="B95" s="14" t="str">
        <x:v>A2</x:v>
      </x:c>
      <x:c r="C95" s="14" t="str">
        <x:v>Children / Household survey</x:v>
      </x:c>
      <x:c r="D95" s="14" t="str">
        <x:v>UNICEF Multiple Indicator Cluster Surveys (MICS) data portal</x:v>
      </x:c>
      <x:c r="E95" s="14" t="str">
        <x:v>UNICEF MICS</x:v>
      </x:c>
      <x:c r="F95" s="14" t="str">
        <x:v>https://mics.unicef.org/</x:v>
      </x:c>
      <x:c r="G95" s="14" t="str"/>
      <x:c r="H95" s="14" t="str">
        <x:v>Survey datasets, questionnaires, reports, tabulation tools and technical documentation</x:v>
      </x:c>
      <x:c r="I95" s="14" t="str">
        <x:v>Pakistan provincial MICS waves by province/year; latest survey listings vary</x:v>
      </x:c>
      <x:c r="J95" s="14" t="str">
        <x:v>Provincial, district and urban/rural domains by survey</x:v>
      </x:c>
      <x:c r="K95" s="14" t="str">
        <x:v>Child/maternal health, education, nutrition, WASH, child protection, disability and household welfare</x:v>
      </x:c>
      <x:c r="L95" s="14" t="str">
        <x:v>Microdata often require registration/request and a data-use agreement; verify the specific Pakistan round.</x:v>
      </x:c>
      <x:c r="M95" s="14" t="str">
        <x:v>Official page/catalog observed</x:v>
      </x:c>
      <x:c r="N95" s="14" t="str">
        <x:v>P1</x:v>
      </x:c>
      <x:c r="O95" s="18" t="str">
        <x:v>Not started</x:v>
      </x:c>
      <x:c r="P95" s="96"/>
    </x:row>
    <x:row r="96" ht="62" customHeight="1">
      <x:c r="A96" s="14" t="str">
        <x:v>PKD-095</x:v>
      </x:c>
      <x:c r="B96" s="14" t="str">
        <x:v>A2</x:v>
      </x:c>
      <x:c r="C96" s="14" t="str">
        <x:v>Climate / Adaptation</x:v>
      </x:c>
      <x:c r="D96" s="14" t="str">
        <x:v>World Bank Climate Change Knowledge Portal — Pakistan</x:v>
      </x:c>
      <x:c r="E96" s="14" t="str">
        <x:v>World Bank</x:v>
      </x:c>
      <x:c r="F96" s="14" t="str">
        <x:v>https://climateknowledgeportal.worldbank.org/country/pakistan</x:v>
      </x:c>
      <x:c r="G96" s="14" t="str"/>
      <x:c r="H96" s="14" t="str">
        <x:v>Climate profiles, maps, projections, graphs and downloadable linked products</x:v>
      </x:c>
      <x:c r="I96" s="14" t="str">
        <x:v>Historical climate series and future scenarios, dataset-specific</x:v>
      </x:c>
      <x:c r="J96" s="14" t="str">
        <x:v>National and geographic units depending on layer</x:v>
      </x:c>
      <x:c r="K96" s="14" t="str">
        <x:v>Climate exposure, temperature/rainfall trends, agricultural adaptation and climate vulnerability</x:v>
      </x:c>
      <x:c r="L96" s="14" t="str">
        <x:v>Projected/modelled climate values are not observed weather-station records; compare with PMD.</x:v>
      </x:c>
      <x:c r="M96" s="14" t="str">
        <x:v>Official page/catalog observed</x:v>
      </x:c>
      <x:c r="N96" s="14" t="str">
        <x:v>P2</x:v>
      </x:c>
      <x:c r="O96" s="18" t="str">
        <x:v>Not started</x:v>
      </x:c>
      <x:c r="P96" s="96"/>
    </x:row>
    <x:row r="97" ht="62" customHeight="1">
      <x:c r="A97" s="14" t="str">
        <x:v>PKD-096</x:v>
      </x:c>
      <x:c r="B97" s="14" t="str">
        <x:v>A2</x:v>
      </x:c>
      <x:c r="C97" s="14" t="str">
        <x:v>Climate / Earth observation</x:v>
      </x:c>
      <x:c r="D97" s="14" t="str">
        <x:v>Copernicus Climate Data Store</x:v>
      </x:c>
      <x:c r="E97" s="14" t="str">
        <x:v>Copernicus Climate Change Service</x:v>
      </x:c>
      <x:c r="F97" s="14" t="str">
        <x:v>https://cds.climate.copernicus.eu/</x:v>
      </x:c>
      <x:c r="G97" s="14" t="str"/>
      <x:c r="H97" s="14" t="str">
        <x:v>Climate reanalysis/model grids, APIs and bulk data</x:v>
      </x:c>
      <x:c r="I97" s="14" t="str">
        <x:v>Historical reanalysis and future projections by product</x:v>
      </x:c>
      <x:c r="J97" s="14" t="str">
        <x:v>Gridded climate data</x:v>
      </x:c>
      <x:c r="K97" s="14" t="str">
        <x:v>Heat, rainfall extremes, drought, climate normals and climate-change scenarios</x:v>
      </x:c>
      <x:c r="L97" s="14" t="str">
        <x:v>Model/reanalysis products are not direct local station measurements; document product, version and resolution.</x:v>
      </x:c>
      <x:c r="M97" s="14" t="str">
        <x:v>Official page/catalog observed</x:v>
      </x:c>
      <x:c r="N97" s="14" t="str">
        <x:v>P2</x:v>
      </x:c>
      <x:c r="O97" s="18" t="str">
        <x:v>Not started</x:v>
      </x:c>
      <x:c r="P97" s="96"/>
    </x:row>
    <x:row r="98" ht="62" customHeight="1">
      <x:c r="A98" s="14" t="str">
        <x:v>PKD-097</x:v>
      </x:c>
      <x:c r="B98" s="14" t="str">
        <x:v>A2</x:v>
      </x:c>
      <x:c r="C98" s="14" t="str">
        <x:v>Climate / Earth observation</x:v>
      </x:c>
      <x:c r="D98" s="14" t="str">
        <x:v>NASA Earthdata</x:v>
      </x:c>
      <x:c r="E98" s="14" t="str">
        <x:v>NASA</x:v>
      </x:c>
      <x:c r="F98" s="14" t="str">
        <x:v>https://www.earthdata.nasa.gov/</x:v>
      </x:c>
      <x:c r="G98" s="14" t="str"/>
      <x:c r="H98" s="14" t="str">
        <x:v>Satellite datasets, raster imagery, APIs and scientific data tools</x:v>
      </x:c>
      <x:c r="I98" s="14" t="str">
        <x:v>Product-specific daily/monthly/historical series</x:v>
      </x:c>
      <x:c r="J98" s="14" t="str">
        <x:v>Grid / station / satellite footprint</x:v>
      </x:c>
      <x:c r="K98" s="14" t="str">
        <x:v>Land cover, vegetation, surface temperature, fires, rainfall-related products and environmental exposure</x:v>
      </x:c>
      <x:c r="L98" s="14" t="str">
        <x:v>Understand each sensor's spatial/temporal resolution and validation; no single product answers every local question.</x:v>
      </x:c>
      <x:c r="M98" s="14" t="str">
        <x:v>Official page/catalog observed</x:v>
      </x:c>
      <x:c r="N98" s="14" t="str">
        <x:v>P2</x:v>
      </x:c>
      <x:c r="O98" s="18" t="str">
        <x:v>Not started</x:v>
      </x:c>
      <x:c r="P98" s="96"/>
    </x:row>
    <x:row r="99" ht="62" customHeight="1">
      <x:c r="A99" s="14" t="str">
        <x:v>PKD-098</x:v>
      </x:c>
      <x:c r="B99" s="14" t="str">
        <x:v>A2</x:v>
      </x:c>
      <x:c r="C99" s="14" t="str">
        <x:v>Conflict / Security</x:v>
      </x:c>
      <x:c r="D99" s="14" t="str">
        <x:v>ACLED political violence and protest events</x:v>
      </x:c>
      <x:c r="E99" s="14" t="str">
        <x:v>Armed Conflict Location &amp; Event Data</x:v>
      </x:c>
      <x:c r="F99" s="14" t="str">
        <x:v>https://acleddata.com/</x:v>
      </x:c>
      <x:c r="G99" s="14" t="str"/>
      <x:c r="H99" s="14" t="str">
        <x:v>Event-level CSV/API, maps and periodic reports; registration/access policy may apply</x:v>
      </x:c>
      <x:c r="I99" s="14" t="str">
        <x:v>Ongoing dated events and historic data</x:v>
      </x:c>
      <x:c r="J99" s="14" t="str">
        <x:v>Geocoded event locations in Pakistan</x:v>
      </x:c>
      <x:c r="K99" s="14" t="str">
        <x:v>Conflict trends, protest geography, violence patterns, actor types and spatial/temporal clustering</x:v>
      </x:c>
      <x:c r="L99" s="14" t="str">
        <x:v>Event data reflect media/event coding and coverage; casualty numbers and event categories can be uncertain.</x:v>
      </x:c>
      <x:c r="M99" s="14" t="str">
        <x:v>Official page/catalog observed</x:v>
      </x:c>
      <x:c r="N99" s="14" t="str">
        <x:v>P2</x:v>
      </x:c>
      <x:c r="O99" s="18" t="str">
        <x:v>Not started</x:v>
      </x:c>
      <x:c r="P99" s="96"/>
    </x:row>
    <x:row r="100" ht="62" customHeight="1">
      <x:c r="A100" s="14" t="str">
        <x:v>PKD-099</x:v>
      </x:c>
      <x:c r="B100" s="14" t="str">
        <x:v>A2</x:v>
      </x:c>
      <x:c r="C100" s="14" t="str">
        <x:v>Conflict / Security</x:v>
      </x:c>
      <x:c r="D100" s="14" t="str">
        <x:v>Uppsala Conflict Data Program (UCDP)</x:v>
      </x:c>
      <x:c r="E100" s="14" t="str">
        <x:v>Uppsala University</x:v>
      </x:c>
      <x:c r="F100" s="14" t="str">
        <x:v>https://ucdp.uu.se/</x:v>
      </x:c>
      <x:c r="G100" s="14" t="str"/>
      <x:c r="H100" s="14" t="str">
        <x:v>Research datasets, event data and coding documentation</x:v>
      </x:c>
      <x:c r="I100" s="14" t="str">
        <x:v>Historical conflict periods and annual releases</x:v>
      </x:c>
      <x:c r="J100" s="14" t="str">
        <x:v>National and geocoded event data at supported level</x:v>
      </x:c>
      <x:c r="K100" s="14" t="str">
        <x:v>Armed conflict, organized violence and conflict-related deaths</x:v>
      </x:c>
      <x:c r="L100" s="14" t="str">
        <x:v>Definitions and inclusion thresholds differ from ACLED and official incident counts.</x:v>
      </x:c>
      <x:c r="M100" s="14" t="str">
        <x:v>Official page/catalog observed</x:v>
      </x:c>
      <x:c r="N100" s="14" t="str">
        <x:v>P2</x:v>
      </x:c>
      <x:c r="O100" s="18" t="str">
        <x:v>Not started</x:v>
      </x:c>
      <x:c r="P100" s="96"/>
    </x:row>
    <x:row r="101" ht="62" customHeight="1">
      <x:c r="A101" s="14" t="str">
        <x:v>PKD-100</x:v>
      </x:c>
      <x:c r="B101" s="14" t="str">
        <x:v>A2</x:v>
      </x:c>
      <x:c r="C101" s="14" t="str">
        <x:v>Cross-country macroeconomics</x:v>
      </x:c>
      <x:c r="D101" s="14" t="str">
        <x:v>World Bank World Development Indicators (WDI) — Pakistan</x:v>
      </x:c>
      <x:c r="E101" s="14" t="str">
        <x:v>World Bank</x:v>
      </x:c>
      <x:c r="F101" s="14" t="str">
        <x:v>https://data.worldbank.org/country/pakistan</x:v>
      </x:c>
      <x:c r="G101" s="14" t="str"/>
      <x:c r="H101" s="14" t="str">
        <x:v>Interactive charts, CSV/XML downloads, DataBank and API</x:v>
      </x:c>
      <x:c r="I101" s="14" t="str">
        <x:v>Multiple decades depending on indicator; annually/quarterly depending on series</x:v>
      </x:c>
      <x:c r="J101" s="14" t="str">
        <x:v>Pakistan national plus international peer groups</x:v>
      </x:c>
      <x:c r="K101" s="14" t="str">
        <x:v>Long-run GDP, population, poverty, health, education, labour, infrastructure, gender and environment comparisons</x:v>
      </x:c>
      <x:c r="L101" s="14" t="str">
        <x:v>Internationally harmonized estimates can differ from official domestic definitions and may lag.</x:v>
      </x:c>
      <x:c r="M101" s="14" t="str">
        <x:v>Official page/catalog observed</x:v>
      </x:c>
      <x:c r="N101" s="14" t="str">
        <x:v>P1</x:v>
      </x:c>
      <x:c r="O101" s="18" t="str">
        <x:v>Not started</x:v>
      </x:c>
      <x:c r="P101" s="96"/>
    </x:row>
    <x:row r="102" ht="62" customHeight="1">
      <x:c r="A102" s="14" t="str">
        <x:v>PKD-101</x:v>
      </x:c>
      <x:c r="B102" s="14" t="str">
        <x:v>A2</x:v>
      </x:c>
      <x:c r="C102" s="14" t="str">
        <x:v>Cross-country macroeconomics / API</x:v>
      </x:c>
      <x:c r="D102" s="14" t="str">
        <x:v>World Bank Indicators API: Pakistan example</x:v>
      </x:c>
      <x:c r="E102" s="14" t="str">
        <x:v>World Bank</x:v>
      </x:c>
      <x:c r="F102" s="14" t="str">
        <x:v>https://api.worldbank.org/v2/country/PAK/indicator/NY.GDP.MKTP.CD?format=json</x:v>
      </x:c>
      <x:c r="G102" s="14" t="str">
        <x:v>https://api.worldbank.org/v2/country/PAK/indicator/NY.GDP.MKTP.CD?format=json</x:v>
      </x:c>
      <x:c r="H102" s="14" t="str">
        <x:v>JSON API; queryable indicator/country/year endpoints</x:v>
      </x:c>
      <x:c r="I102" s="14" t="str">
        <x:v>Indicator-specific historical period</x:v>
      </x:c>
      <x:c r="J102" s="14" t="str">
        <x:v>Country-level, with other geographies available via API</x:v>
      </x:c>
      <x:c r="K102" s="14" t="str">
        <x:v>Automate updates, combine indicator series and build repeatable analytical pipelines</x:v>
      </x:c>
      <x:c r="L102" s="14" t="str">
        <x:v>API provides one indicator in example; check pagination, metadata and indicator IDs; don't assume all sources update together.</x:v>
      </x:c>
      <x:c r="M102" s="14" t="str">
        <x:v>Official page/catalog observed</x:v>
      </x:c>
      <x:c r="N102" s="14" t="str">
        <x:v>P1</x:v>
      </x:c>
      <x:c r="O102" s="18" t="str">
        <x:v>Not started</x:v>
      </x:c>
      <x:c r="P102" s="96"/>
    </x:row>
    <x:row r="103" ht="62" customHeight="1">
      <x:c r="A103" s="14" t="str">
        <x:v>PKD-102</x:v>
      </x:c>
      <x:c r="B103" s="14" t="str">
        <x:v>A2</x:v>
      </x:c>
      <x:c r="C103" s="14" t="str">
        <x:v>Digitalization / Gender / Finance</x:v>
      </x:c>
      <x:c r="D103" s="14" t="str">
        <x:v>Global Findex Database 2025 — downloadable data</x:v>
      </x:c>
      <x:c r="E103" s="14" t="str">
        <x:v>World Bank</x:v>
      </x:c>
      <x:c r="F103" s="14" t="str">
        <x:v>https://www.worldbank.org/en/publication/globalfindex/download-data</x:v>
      </x:c>
      <x:c r="G103" s="14" t="str"/>
      <x:c r="H103" s="14" t="str">
        <x:v>Country-level XLSX/CSV/Stata files; individual-level microdata via Microdata Library; visualizations</x:v>
      </x:c>
      <x:c r="I103" s="14" t="str">
        <x:v>Indicators reported for 2024, 2021, 2017, 2014 and 2011 depending on measure</x:v>
      </x:c>
      <x:c r="J103" s="14" t="str">
        <x:v>Pakistan and international comparisons; gender, income, age, labour status and rural/urban splits</x:v>
      </x:c>
      <x:c r="K103" s="14" t="str">
        <x:v>Account ownership, mobile ownership, internet use, payments, saving, credit, financial resilience and digital safety</x:v>
      </x:c>
      <x:c r="L103" s="14" t="str">
        <x:v>Survey responses and modelled indicators are not administrative account counts; inspect indicator sample and questionnaire.</x:v>
      </x:c>
      <x:c r="M103" s="14" t="str">
        <x:v>Official page/catalog observed</x:v>
      </x:c>
      <x:c r="N103" s="14" t="str">
        <x:v>P1</x:v>
      </x:c>
      <x:c r="O103" s="18" t="str">
        <x:v>Not started</x:v>
      </x:c>
      <x:c r="P103" s="96"/>
    </x:row>
    <x:row r="104" ht="62" customHeight="1">
      <x:c r="A104" s="14" t="str">
        <x:v>PKD-103</x:v>
      </x:c>
      <x:c r="B104" s="14" t="str">
        <x:v>A2</x:v>
      </x:c>
      <x:c r="C104" s="14" t="str">
        <x:v>Digitalization / ICT</x:v>
      </x:c>
      <x:c r="D104" s="14" t="str">
        <x:v>International Telecommunication Union DataHub</x:v>
      </x:c>
      <x:c r="E104" s="14" t="str">
        <x:v>ITU</x:v>
      </x:c>
      <x:c r="F104" s="14" t="str">
        <x:v>https://datahub.itu.int/</x:v>
      </x:c>
      <x:c r="G104" s="14" t="str"/>
      <x:c r="H104" s="14" t="str">
        <x:v>Interactive data portal, downloadable indicator data and country profiles</x:v>
      </x:c>
      <x:c r="I104" s="14" t="str">
        <x:v>Annual and periodic ICT indicators</x:v>
      </x:c>
      <x:c r="J104" s="14" t="str">
        <x:v>Pakistan / international comparisons</x:v>
      </x:c>
      <x:c r="K104" s="14" t="str">
        <x:v>Internet use, broadband, mobile networks, ICT prices and digital access</x:v>
      </x:c>
      <x:c r="L104" s="14" t="str">
        <x:v>National subscriptions and individual use indicators are conceptually different; compare like-for-like series.</x:v>
      </x:c>
      <x:c r="M104" s="14" t="str">
        <x:v>Official page/catalog observed</x:v>
      </x:c>
      <x:c r="N104" s="14" t="str">
        <x:v>P2</x:v>
      </x:c>
      <x:c r="O104" s="18" t="str">
        <x:v>Not started</x:v>
      </x:c>
      <x:c r="P104" s="96"/>
    </x:row>
    <x:row r="105" ht="62" customHeight="1">
      <x:c r="A105" s="14" t="str">
        <x:v>PKD-104</x:v>
      </x:c>
      <x:c r="B105" s="14" t="str">
        <x:v>A2</x:v>
      </x:c>
      <x:c r="C105" s="14" t="str">
        <x:v>Digitalization / Infrastructure</x:v>
      </x:c>
      <x:c r="D105" s="14" t="str">
        <x:v>ADB Pakistan's Digital Ecosystem: Diagnostic Report (2025)</x:v>
      </x:c>
      <x:c r="E105" s="14" t="str">
        <x:v>Asian Development Bank</x:v>
      </x:c>
      <x:c r="F105" s="14" t="str">
        <x:v>https://www.adb.org/publications/pakistan-digital-ecosystem-diagnostic-report</x:v>
      </x:c>
      <x:c r="G105" s="14" t="str"/>
      <x:c r="H105" s="14" t="str">
        <x:v>Full PDF report with analysis of digital infrastructure, government, economy and society</x:v>
      </x:c>
      <x:c r="I105" s="14" t="str">
        <x:v>Published July 2025</x:v>
      </x:c>
      <x:c r="J105" s="14" t="str">
        <x:v>Pakistan national and sectoral</x:v>
      </x:c>
      <x:c r="K105" s="14" t="str">
        <x:v>Digital connectivity, digital government, digital skills, digital economy, cyber security and policy gaps</x:v>
      </x:c>
      <x:c r="L105" s="14" t="str">
        <x:v>Research synthesis rather than raw observation file; mine references and annexes for original data.</x:v>
      </x:c>
      <x:c r="M105" s="14" t="str">
        <x:v>Official page/catalog observed</x:v>
      </x:c>
      <x:c r="N105" s="14" t="str">
        <x:v>P2</x:v>
      </x:c>
      <x:c r="O105" s="18" t="str">
        <x:v>Not started</x:v>
      </x:c>
      <x:c r="P105" s="96"/>
    </x:row>
    <x:row r="106" ht="62" customHeight="1">
      <x:c r="A106" s="14" t="str">
        <x:v>PKD-105</x:v>
      </x:c>
      <x:c r="B106" s="14" t="str">
        <x:v>A2</x:v>
      </x:c>
      <x:c r="C106" s="14" t="str">
        <x:v>Disasters / Hazard loss</x:v>
      </x:c>
      <x:c r="D106" s="14" t="str">
        <x:v>EM-DAT International Disaster Database</x:v>
      </x:c>
      <x:c r="E106" s="14" t="str">
        <x:v>CRED</x:v>
      </x:c>
      <x:c r="F106" s="14" t="str">
        <x:v>https://www.emdat.be/</x:v>
      </x:c>
      <x:c r="G106" s="14" t="str"/>
      <x:c r="H106" s="14" t="str">
        <x:v>Searchable event records and downloadable disaster database subject to access terms</x:v>
      </x:c>
      <x:c r="I106" s="14" t="str">
        <x:v>Historical disaster events</x:v>
      </x:c>
      <x:c r="J106" s="14" t="str">
        <x:v>Pakistan national and disaster event records</x:v>
      </x:c>
      <x:c r="K106" s="14" t="str">
        <x:v>Compare flood/earthquake/heat event frequency, deaths, affected population and economic loss</x:v>
      </x:c>
      <x:c r="L106" s="14" t="str">
        <x:v>Events must satisfy database inclusion criteria; economic losses are often incomplete and not directly comparable.</x:v>
      </x:c>
      <x:c r="M106" s="14" t="str">
        <x:v>Official page/catalog observed</x:v>
      </x:c>
      <x:c r="N106" s="14" t="str">
        <x:v>P2</x:v>
      </x:c>
      <x:c r="O106" s="18" t="str">
        <x:v>Not started</x:v>
      </x:c>
      <x:c r="P106" s="96"/>
    </x:row>
    <x:row r="107" ht="62" customHeight="1">
      <x:c r="A107" s="14" t="str">
        <x:v>PKD-106</x:v>
      </x:c>
      <x:c r="B107" s="14" t="str">
        <x:v>A2</x:v>
      </x:c>
      <x:c r="C107" s="14" t="str">
        <x:v>Displacement / GIS</x:v>
      </x:c>
      <x:c r="D107" s="14" t="str">
        <x:v>Humanitarian Data Exchange (HDX) — Pakistan datasets</x:v>
      </x:c>
      <x:c r="E107" s="14" t="str">
        <x:v>OCHA / data contributors</x:v>
      </x:c>
      <x:c r="F107" s="14" t="str">
        <x:v>https://data.humdata.org/</x:v>
      </x:c>
      <x:c r="G107" s="14" t="str"/>
      <x:c r="H107" s="14" t="str">
        <x:v>CSV/XLSX, shapefiles, GeoJSON, rasters and downloadable humanitarian datasets</x:v>
      </x:c>
      <x:c r="I107" s="14" t="str">
        <x:v>Dataset-specific; updated by participating organizations</x:v>
      </x:c>
      <x:c r="J107" s="14" t="str">
        <x:v>Pakistan and subnational/admin boundaries when provided</x:v>
      </x:c>
      <x:c r="K107" s="14" t="str">
        <x:v>Disaster impacts, displacement, population, facilities, needs assessments and response monitoring</x:v>
      </x:c>
      <x:c r="L107" s="14" t="str">
        <x:v>HDX is a platform not the producer; rate the source organization and check license/update date for every dataset.</x:v>
      </x:c>
      <x:c r="M107" s="14" t="str">
        <x:v>Official page/catalog observed</x:v>
      </x:c>
      <x:c r="N107" s="14" t="str">
        <x:v>P2</x:v>
      </x:c>
      <x:c r="O107" s="18" t="str">
        <x:v>Not started</x:v>
      </x:c>
      <x:c r="P107" s="96"/>
    </x:row>
    <x:row r="108" ht="62" customHeight="1">
      <x:c r="A108" s="14" t="str">
        <x:v>PKD-107</x:v>
      </x:c>
      <x:c r="B108" s="14" t="str">
        <x:v>A2</x:v>
      </x:c>
      <x:c r="C108" s="14" t="str">
        <x:v>Displacement / Humanitarian</x:v>
      </x:c>
      <x:c r="D108" s="14" t="str">
        <x:v>UNHCR Health Access and Utilization Survey 2022 — Pakistan</x:v>
      </x:c>
      <x:c r="E108" s="14" t="str">
        <x:v>UNHCR; catalogue mirrored by World Bank</x:v>
      </x:c>
      <x:c r="F108" s="14" t="str">
        <x:v>https://microdata.worldbank.org/catalog/5728</x:v>
      </x:c>
      <x:c r="G108" s="14" t="str">
        <x:v>https://microdata.unhcr.org/index.php/catalog/810</x:v>
      </x:c>
      <x:c r="H108" s="14" t="str">
        <x:v>Anonymized household survey microdata, DDI metadata and documentation</x:v>
      </x:c>
      <x:c r="I108" s="14" t="str">
        <x:v>2022; fieldwork June 2022</x:v>
      </x:c>
      <x:c r="J108" s="14" t="str">
        <x:v>Registered refugee households in Pakistan</x:v>
      </x:c>
      <x:c r="K108" s="14" t="str">
        <x:v>Health status, vaccination, healthcare access/utilization, barriers and refugee household characteristics</x:v>
      </x:c>
      <x:c r="L108" s="14" t="str">
        <x:v>Not representative of the Pakistani host population; survey preceded the 2022 floods and has that explicit limitation.</x:v>
      </x:c>
      <x:c r="M108" s="14" t="str">
        <x:v>Official page/catalog observed</x:v>
      </x:c>
      <x:c r="N108" s="14" t="str">
        <x:v>P2</x:v>
      </x:c>
      <x:c r="O108" s="18" t="str">
        <x:v>Not started</x:v>
      </x:c>
      <x:c r="P108" s="96"/>
    </x:row>
    <x:row r="109" ht="62" customHeight="1">
      <x:c r="A109" s="14" t="str">
        <x:v>PKD-108</x:v>
      </x:c>
      <x:c r="B109" s="14" t="str">
        <x:v>A2</x:v>
      </x:c>
      <x:c r="C109" s="14" t="str">
        <x:v>Displacement / Humanitarian</x:v>
      </x:c>
      <x:c r="D109" s="14" t="str">
        <x:v>UNHCR Refugee Data Finder</x:v>
      </x:c>
      <x:c r="E109" s="14" t="str">
        <x:v>UNHCR</x:v>
      </x:c>
      <x:c r="F109" s="14" t="str">
        <x:v>https://www.unhcr.org/refugee-statistics/</x:v>
      </x:c>
      <x:c r="G109" s="14" t="str"/>
      <x:c r="H109" s="14" t="str">
        <x:v>Country profiles, downloadable datasets, tables and annual reports</x:v>
      </x:c>
      <x:c r="I109" s="14" t="str">
        <x:v>Historical/yearly displacement series</x:v>
      </x:c>
      <x:c r="J109" s="14" t="str">
        <x:v>Pakistan and refugee origin/host categories</x:v>
      </x:c>
      <x:c r="K109" s="14" t="str">
        <x:v>Refugee populations, asylum, statelessness, returns and displacement trends</x:v>
      </x:c>
      <x:c r="L109" s="14" t="str">
        <x:v>Population definitions and reporting dates matter; distinguish registered refugees from all Afghans in Pakistan.</x:v>
      </x:c>
      <x:c r="M109" s="14" t="str">
        <x:v>Official page/catalog observed</x:v>
      </x:c>
      <x:c r="N109" s="14" t="str">
        <x:v>P2</x:v>
      </x:c>
      <x:c r="O109" s="18" t="str">
        <x:v>Not started</x:v>
      </x:c>
      <x:c r="P109" s="96"/>
    </x:row>
    <x:row r="110" ht="62" customHeight="1">
      <x:c r="A110" s="14" t="str">
        <x:v>PKD-109</x:v>
      </x:c>
      <x:c r="B110" s="14" t="str">
        <x:v>A2</x:v>
      </x:c>
      <x:c r="C110" s="14" t="str">
        <x:v>Education / Literacy</x:v>
      </x:c>
      <x:c r="D110" s="14" t="str">
        <x:v>UNESCO Institute for Statistics data</x:v>
      </x:c>
      <x:c r="E110" s="14" t="str">
        <x:v>UNESCO UIS</x:v>
      </x:c>
      <x:c r="F110" s="14" t="str">
        <x:v>https://uis.unesco.org/</x:v>
      </x:c>
      <x:c r="G110" s="14" t="str"/>
      <x:c r="H110" s="14" t="str">
        <x:v>Education indicators, downloadable data, country profiles and APIs/data files where available</x:v>
      </x:c>
      <x:c r="I110" s="14" t="str">
        <x:v>Historical country series; annual and survey/admin-dependent</x:v>
      </x:c>
      <x:c r="J110" s="14" t="str">
        <x:v>Pakistan and global comparisons</x:v>
      </x:c>
      <x:c r="K110" s="14" t="str">
        <x:v>Literacy, enrollment, attainment, education finance, teachers, R&amp;D and SDG-4</x:v>
      </x:c>
      <x:c r="L110" s="14" t="str">
        <x:v>Definitions such as literacy, out-of-school and expenditure may differ by series; check indicator metadata.</x:v>
      </x:c>
      <x:c r="M110" s="14" t="str">
        <x:v>Official page/catalog observed</x:v>
      </x:c>
      <x:c r="N110" s="14" t="str">
        <x:v>P2</x:v>
      </x:c>
      <x:c r="O110" s="18" t="str">
        <x:v>Not started</x:v>
      </x:c>
      <x:c r="P110" s="96"/>
    </x:row>
    <x:row r="111" ht="62" customHeight="1">
      <x:c r="A111" s="14" t="str">
        <x:v>PKD-110</x:v>
      </x:c>
      <x:c r="B111" s="14" t="str">
        <x:v>A2</x:v>
      </x:c>
      <x:c r="C111" s="14" t="str">
        <x:v>Finance / Digital inclusion</x:v>
      </x:c>
      <x:c r="D111" s="14" t="str">
        <x:v>Global Findex Database 2025 — country and microdata files</x:v>
      </x:c>
      <x:c r="E111" s="14" t="str">
        <x:v>World Bank</x:v>
      </x:c>
      <x:c r="F111" s="14" t="str">
        <x:v>https://www.worldbank.org/en/publication/globalfindex/download-data</x:v>
      </x:c>
      <x:c r="G111" s="14" t="str">
        <x:v>Download data: https://www.worldbank.org/en/publication/globalfindex/download-data</x:v>
      </x:c>
      <x:c r="H111" s="14" t="str">
        <x:v>Country-level indicator files and microdata/download options for financial account ownership, payments, savings, borrowing, digital transactions, mobile/internet use and gender gaps.</x:v>
      </x:c>
      <x:c r="I111" s="14" t="str">
        <x:v>2024 survey release in 2025; earlier waves include 2021, 2017, 2014 and 2011</x:v>
      </x:c>
      <x:c r="J111" s="14" t="str">
        <x:v>National and demographic subgroups where sample supports</x:v>
      </x:c>
      <x:c r="K111" s="14" t="str">
        <x:v>Financial inclusion, mobile payments, account access, gender gaps and digitization</x:v>
      </x:c>
      <x:c r="L111" s="14" t="str">
        <x:v>Check survey year and question comparability across waves; microdata estimates have sampling uncertainty.</x:v>
      </x:c>
      <x:c r="M111" s="14" t="str">
        <x:v>Official World Bank data page observed</x:v>
      </x:c>
      <x:c r="N111" s="14" t="str">
        <x:v>P1</x:v>
      </x:c>
      <x:c r="O111" s="18" t="str">
        <x:v>Not started</x:v>
      </x:c>
      <x:c r="P111" s="96"/>
    </x:row>
    <x:row r="112" ht="62" customHeight="1">
      <x:c r="A112" s="14" t="str">
        <x:v>PKD-111</x:v>
      </x:c>
      <x:c r="B112" s="14" t="str">
        <x:v>A2</x:v>
      </x:c>
      <x:c r="C112" s="14" t="str">
        <x:v>Food security / Rural livelihoods</x:v>
      </x:c>
      <x:c r="D112" s="14" t="str">
        <x:v>FAO Data in Emergencies Monitoring System Household Survey 2024 — Pakistan, Round 6</x:v>
      </x:c>
      <x:c r="E112" s="14" t="str">
        <x:v>FAO</x:v>
      </x:c>
      <x:c r="F112" s="14" t="str">
        <x:v>https://microdata.worldbank.org/catalog/8363</x:v>
      </x:c>
      <x:c r="G112" s="14" t="str"/>
      <x:c r="H112" s="14" t="str">
        <x:v>Survey metadata, questionnaire and microdata access via external repository; DDI metadata</x:v>
      </x:c>
      <x:c r="I112" s="14" t="str">
        <x:v>Data collection Aug–Sep 2024; 6,292 households across 24 rural districts</x:v>
      </x:c>
      <x:c r="J112" s="14" t="str">
        <x:v>Rural districts in Sindh, Balochistan and KP; representative at district level for covered sample design</x:v>
      </x:c>
      <x:c r="K112" s="14" t="str">
        <x:v>Food security, household shocks/income, crop/livestock/fisheries production and marketing, coping strategies</x:v>
      </x:c>
      <x:c r="L112" s="14" t="str">
        <x:v>Access/use restrictions apply; record the non-redistribution conditions and sample is not a full national household survey.</x:v>
      </x:c>
      <x:c r="M112" s="14" t="str">
        <x:v>Official page/catalog observed</x:v>
      </x:c>
      <x:c r="N112" s="14" t="str">
        <x:v>P1</x:v>
      </x:c>
      <x:c r="O112" s="18" t="str">
        <x:v>Not started</x:v>
      </x:c>
      <x:c r="P112" s="96"/>
    </x:row>
    <x:row r="113" ht="62" customHeight="1">
      <x:c r="A113" s="14" t="str">
        <x:v>PKD-112</x:v>
      </x:c>
      <x:c r="B113" s="14" t="str">
        <x:v>A2</x:v>
      </x:c>
      <x:c r="C113" s="14" t="str">
        <x:v>Forecasts / Macro</x:v>
      </x:c>
      <x:c r="D113" s="14" t="str">
        <x:v>IMF World Economic Outlook database</x:v>
      </x:c>
      <x:c r="E113" s="14" t="str">
        <x:v>IMF</x:v>
      </x:c>
      <x:c r="F113" s="14" t="str">
        <x:v>https://data.imf.org/datasets/WEO</x:v>
      </x:c>
      <x:c r="G113" s="14" t="str"/>
      <x:c r="H113" s="14" t="str">
        <x:v>Downloadable macro tables and forecasts</x:v>
      </x:c>
      <x:c r="I113" s="14" t="str">
        <x:v>Historical data plus projections to future years, by WEO release</x:v>
      </x:c>
      <x:c r="J113" s="14" t="str">
        <x:v>Pakistan and peer economies</x:v>
      </x:c>
      <x:c r="K113" s="14" t="str">
        <x:v>GDP growth, inflation, current account, unemployment, fiscal balance and macro scenarios</x:v>
      </x:c>
      <x:c r="L113" s="14" t="str">
        <x:v>Forecasts are not actuals; save the WEO release vintage because projections are revised.</x:v>
      </x:c>
      <x:c r="M113" s="14" t="str">
        <x:v>Official page/catalog observed</x:v>
      </x:c>
      <x:c r="N113" s="14" t="str">
        <x:v>P2</x:v>
      </x:c>
      <x:c r="O113" s="18" t="str">
        <x:v>Not started</x:v>
      </x:c>
      <x:c r="P113" s="96"/>
    </x:row>
    <x:row r="114" ht="62" customHeight="1">
      <x:c r="A114" s="14" t="str">
        <x:v>PKD-113</x:v>
      </x:c>
      <x:c r="B114" s="14" t="str">
        <x:v>A2</x:v>
      </x:c>
      <x:c r="C114" s="14" t="str">
        <x:v>Gender / Work</x:v>
      </x:c>
      <x:c r="D114" s="14" t="str">
        <x:v>World Bank Gender Data Portal — Pakistan</x:v>
      </x:c>
      <x:c r="E114" s="14" t="str">
        <x:v>World Bank</x:v>
      </x:c>
      <x:c r="F114" s="14" t="str">
        <x:v>https://genderdata.worldbank.org/en/economies/pakistan</x:v>
      </x:c>
      <x:c r="G114" s="14" t="str"/>
      <x:c r="H114" s="14" t="str">
        <x:v>Interactive country charts, downloadable indicator links and source metadata</x:v>
      </x:c>
      <x:c r="I114" s="14" t="str">
        <x:v>Historical and latest indicators vary; some 2025 series are ILO-modelled estimates</x:v>
      </x:c>
      <x:c r="J114" s="14" t="str">
        <x:v>National and by sex, sector or demographic group when available</x:v>
      </x:c>
      <x:c r="K114" s="14" t="str">
        <x:v>Gender gaps in employment, education, health, assets, leadership and economic participation</x:v>
      </x:c>
      <x:c r="L114" s="14" t="str">
        <x:v>Read source footnotes: portal can reproduce modeled ILO estimates or other international sources, not raw Pakistan microdata.</x:v>
      </x:c>
      <x:c r="M114" s="14" t="str">
        <x:v>Official page/catalog observed</x:v>
      </x:c>
      <x:c r="N114" s="14" t="str">
        <x:v>P2</x:v>
      </x:c>
      <x:c r="O114" s="18" t="str">
        <x:v>Not started</x:v>
      </x:c>
      <x:c r="P114" s="96"/>
    </x:row>
    <x:row r="115" ht="62" customHeight="1">
      <x:c r="A115" s="14" t="str">
        <x:v>PKD-114</x:v>
      </x:c>
      <x:c r="B115" s="14" t="str">
        <x:v>A2</x:v>
      </x:c>
      <x:c r="C115" s="14" t="str">
        <x:v>Geospatial / Population</x:v>
      </x:c>
      <x:c r="D115" s="14" t="str">
        <x:v>WorldPop gridded population datasets</x:v>
      </x:c>
      <x:c r="E115" s="14" t="str">
        <x:v>WorldPop / research partners</x:v>
      </x:c>
      <x:c r="F115" s="14" t="str">
        <x:v>https://www.worldpop.org/</x:v>
      </x:c>
      <x:c r="G115" s="14" t="str"/>
      <x:c r="H115" s="14" t="str">
        <x:v>Raster grids, GIS data and supporting methods</x:v>
      </x:c>
      <x:c r="I115" s="14" t="str">
        <x:v>Year-specific estimates and model versions</x:v>
      </x:c>
      <x:c r="J115" s="14" t="str">
        <x:v>Fine-grained geographic grids across Pakistan</x:v>
      </x:c>
      <x:c r="K115" s="14" t="str">
        <x:v>Population-weighted access measures, service catchments, exposure to floods/heat and spatial denominators</x:v>
      </x:c>
      <x:c r="L115" s="14" t="str">
        <x:v>Modelled population estimates are not official village counts; do not sum mismatched grids without checking methodology.</x:v>
      </x:c>
      <x:c r="M115" s="14" t="str">
        <x:v>Official page/catalog observed</x:v>
      </x:c>
      <x:c r="N115" s="14" t="str">
        <x:v>P2</x:v>
      </x:c>
      <x:c r="O115" s="18" t="str">
        <x:v>Not started</x:v>
      </x:c>
      <x:c r="P115" s="96"/>
    </x:row>
    <x:row r="116" ht="62" customHeight="1">
      <x:c r="A116" s="14" t="str">
        <x:v>PKD-115</x:v>
      </x:c>
      <x:c r="B116" s="14" t="str">
        <x:v>A2</x:v>
      </x:c>
      <x:c r="C116" s="14" t="str">
        <x:v>Global statistics / Metadata</x:v>
      </x:c>
      <x:c r="D116" s="14" t="str">
        <x:v>UNData Pakistan search</x:v>
      </x:c>
      <x:c r="E116" s="14" t="str">
        <x:v>United Nations Statistics Division and contributing UN agencies</x:v>
      </x:c>
      <x:c r="F116" s="14" t="str">
        <x:v>https://data.un.org/Search.aspx?q=pakistan</x:v>
      </x:c>
      <x:c r="G116" s="14" t="str"/>
      <x:c r="H116" s="14" t="str">
        <x:v>Searchable database, tables and downloads</x:v>
      </x:c>
      <x:c r="I116" s="14" t="str">
        <x:v>Series vary by UN source and reference period</x:v>
      </x:c>
      <x:c r="J116" s="14" t="str">
        <x:v>Pakistan plus cross-country comparisons</x:v>
      </x:c>
      <x:c r="K116" s="14" t="str">
        <x:v>Find official international indicators across population, health, trade, energy, industry and education</x:v>
      </x:c>
      <x:c r="L116" s="14" t="str">
        <x:v>UNData aggregates multiple custodians; preserve the specific source agency and release vintage.</x:v>
      </x:c>
      <x:c r="M116" s="14" t="str">
        <x:v>Official page/catalog observed</x:v>
      </x:c>
      <x:c r="N116" s="14" t="str">
        <x:v>P2</x:v>
      </x:c>
      <x:c r="O116" s="18" t="str">
        <x:v>Not started</x:v>
      </x:c>
      <x:c r="P116" s="96"/>
    </x:row>
    <x:row r="117" ht="62" customHeight="1">
      <x:c r="A117" s="14" t="str">
        <x:v>PKD-116</x:v>
      </x:c>
      <x:c r="B117" s="14" t="str">
        <x:v>A2</x:v>
      </x:c>
      <x:c r="C117" s="14" t="str">
        <x:v>Governance / Civic freedoms</x:v>
      </x:c>
      <x:c r="D117" s="14" t="str">
        <x:v>Freedom House Freedom in the World — Pakistan</x:v>
      </x:c>
      <x:c r="E117" s="14" t="str">
        <x:v>Freedom House</x:v>
      </x:c>
      <x:c r="F117" s="14" t="str">
        <x:v>https://freedomhouse.org/country/pakistan/freedom-world</x:v>
      </x:c>
      <x:c r="G117" s="14" t="str"/>
      <x:c r="H117" s="14" t="str">
        <x:v>Country report, scores and downloadable comparative datasets</x:v>
      </x:c>
      <x:c r="I117" s="14" t="str">
        <x:v>Annual</x:v>
      </x:c>
      <x:c r="J117" s="14" t="str">
        <x:v>Pakistan and cross-country</x:v>
      </x:c>
      <x:c r="K117" s="14" t="str">
        <x:v>Political rights, civil liberties and institutional change</x:v>
      </x:c>
      <x:c r="L117" s="14" t="str">
        <x:v>Expert assessment index, not a raw election or administrative dataset.</x:v>
      </x:c>
      <x:c r="M117" s="14" t="str">
        <x:v>Official page/catalog observed</x:v>
      </x:c>
      <x:c r="N117" s="14" t="str">
        <x:v>P2</x:v>
      </x:c>
      <x:c r="O117" s="18" t="str">
        <x:v>Not started</x:v>
      </x:c>
      <x:c r="P117" s="96"/>
    </x:row>
    <x:row r="118" ht="62" customHeight="1">
      <x:c r="A118" s="14" t="str">
        <x:v>PKD-117</x:v>
      </x:c>
      <x:c r="B118" s="14" t="str">
        <x:v>A2</x:v>
      </x:c>
      <x:c r="C118" s="14" t="str">
        <x:v>Governance / Corruption</x:v>
      </x:c>
      <x:c r="D118" s="14" t="str">
        <x:v>Transparency International Corruption Perceptions Index</x:v>
      </x:c>
      <x:c r="E118" s="14" t="str">
        <x:v>Transparency International</x:v>
      </x:c>
      <x:c r="F118" s="14" t="str">
        <x:v>https://www.transparency.org/en/cpi</x:v>
      </x:c>
      <x:c r="G118" s="14" t="str"/>
      <x:c r="H118" s="14" t="str">
        <x:v>Annual index, country profiles, tables and method documentation</x:v>
      </x:c>
      <x:c r="I118" s="14" t="str">
        <x:v>Annual</x:v>
      </x:c>
      <x:c r="J118" s="14" t="str">
        <x:v>Pakistan and global comparison</x:v>
      </x:c>
      <x:c r="K118" s="14" t="str">
        <x:v>Perceptions of public-sector corruption and international trend comparison</x:v>
      </x:c>
      <x:c r="L118" s="14" t="str">
        <x:v>CPI measures perceptions from expert/business sources, not confirmed cases or direct household experiences.</x:v>
      </x:c>
      <x:c r="M118" s="14" t="str">
        <x:v>Official page/catalog observed</x:v>
      </x:c>
      <x:c r="N118" s="14" t="str">
        <x:v>P2</x:v>
      </x:c>
      <x:c r="O118" s="18" t="str">
        <x:v>Not started</x:v>
      </x:c>
      <x:c r="P118" s="96"/>
    </x:row>
    <x:row r="119" ht="62" customHeight="1">
      <x:c r="A119" s="14" t="str">
        <x:v>PKD-118</x:v>
      </x:c>
      <x:c r="B119" s="14" t="str">
        <x:v>A2</x:v>
      </x:c>
      <x:c r="C119" s="14" t="str">
        <x:v>Governance / Institutions</x:v>
      </x:c>
      <x:c r="D119" s="14" t="str">
        <x:v>V-Dem country-year datasets</x:v>
      </x:c>
      <x:c r="E119" s="14" t="str">
        <x:v>Varieties of Democracy Institute</x:v>
      </x:c>
      <x:c r="F119" s="14" t="str">
        <x:v>https://www.v-dem.net/</x:v>
      </x:c>
      <x:c r="G119" s="14" t="str"/>
      <x:c r="H119" s="14" t="str">
        <x:v>Large downloadable datasets, codebooks and methodology reports</x:v>
      </x:c>
      <x:c r="I119" s="14" t="str">
        <x:v>Annual historical country-year observations; release vintages</x:v>
      </x:c>
      <x:c r="J119" s="14" t="str">
        <x:v>Pakistan and international comparisons</x:v>
      </x:c>
      <x:c r="K119" s="14" t="str">
        <x:v>Democracy, elections, civil liberties, accountability, participation and institutional change</x:v>
      </x:c>
      <x:c r="L119" s="14" t="str">
        <x:v>Many indicators are expert-coded and uncertainty-bearing, not administrative event counts.</x:v>
      </x:c>
      <x:c r="M119" s="14" t="str">
        <x:v>Official page/catalog observed</x:v>
      </x:c>
      <x:c r="N119" s="14" t="str">
        <x:v>P2</x:v>
      </x:c>
      <x:c r="O119" s="18" t="str">
        <x:v>Not started</x:v>
      </x:c>
      <x:c r="P119" s="96"/>
    </x:row>
    <x:row r="120" ht="62" customHeight="1">
      <x:c r="A120" s="14" t="str">
        <x:v>PKD-119</x:v>
      </x:c>
      <x:c r="B120" s="14" t="str">
        <x:v>A2</x:v>
      </x:c>
      <x:c r="C120" s="14" t="str">
        <x:v>Governance / Rule of law</x:v>
      </x:c>
      <x:c r="D120" s="14" t="str">
        <x:v>World Justice Project Rule of Law Index</x:v>
      </x:c>
      <x:c r="E120" s="14" t="str">
        <x:v>World Justice Project</x:v>
      </x:c>
      <x:c r="F120" s="14" t="str">
        <x:v>https://worldjusticeproject.org/rule-of-law-index/</x:v>
      </x:c>
      <x:c r="G120" s="14" t="str"/>
      <x:c r="H120" s="14" t="str">
        <x:v>Index data, country reports and comparative indicators</x:v>
      </x:c>
      <x:c r="I120" s="14" t="str">
        <x:v>Annual/periodic country waves</x:v>
      </x:c>
      <x:c r="J120" s="14" t="str">
        <x:v>Pakistan and comparison countries</x:v>
      </x:c>
      <x:c r="K120" s="14" t="str">
        <x:v>Constraints on government, corruption, fundamental rights, civil/criminal justice and order/security</x:v>
      </x:c>
      <x:c r="L120" s="14" t="str">
        <x:v>Composite scores reflect the Index's methodology and survey inputs; use detailed factor/subfactor documentation.</x:v>
      </x:c>
      <x:c r="M120" s="14" t="str">
        <x:v>Official page/catalog observed</x:v>
      </x:c>
      <x:c r="N120" s="14" t="str">
        <x:v>P2</x:v>
      </x:c>
      <x:c r="O120" s="18" t="str">
        <x:v>Not started</x:v>
      </x:c>
      <x:c r="P120" s="96"/>
    </x:row>
    <x:row r="121" ht="62" customHeight="1">
      <x:c r="A121" s="14" t="str">
        <x:v>PKD-120</x:v>
      </x:c>
      <x:c r="B121" s="14" t="str">
        <x:v>A2</x:v>
      </x:c>
      <x:c r="C121" s="14" t="str">
        <x:v>Health / Disease</x:v>
      </x:c>
      <x:c r="D121" s="14" t="str">
        <x:v>WHO Global Health Observatory</x:v>
      </x:c>
      <x:c r="E121" s="14" t="str">
        <x:v>World Health Organization</x:v>
      </x:c>
      <x:c r="F121" s="14" t="str">
        <x:v>https://www.who.int/data/gho</x:v>
      </x:c>
      <x:c r="G121" s="14" t="str"/>
      <x:c r="H121" s="14" t="str">
        <x:v>Indicator data, country profiles, charts and bulk/API access where available</x:v>
      </x:c>
      <x:c r="I121" s="14" t="str">
        <x:v>Disease/health indicators with varying years</x:v>
      </x:c>
      <x:c r="J121" s="14" t="str">
        <x:v>Pakistan and global comparisons</x:v>
      </x:c>
      <x:c r="K121" s="14" t="str">
        <x:v>Mortality, diseases, risk factors, health services, expenditure and health system indicators</x:v>
      </x:c>
      <x:c r="L121" s="14" t="str">
        <x:v>Check indicator definition and source; modeled health estimates are not equivalent to facility case reports.</x:v>
      </x:c>
      <x:c r="M121" s="14" t="str">
        <x:v>Official page/catalog observed</x:v>
      </x:c>
      <x:c r="N121" s="14" t="str">
        <x:v>P2</x:v>
      </x:c>
      <x:c r="O121" s="18" t="str">
        <x:v>Not started</x:v>
      </x:c>
      <x:c r="P121" s="96"/>
    </x:row>
    <x:row r="122" ht="62" customHeight="1">
      <x:c r="A122" s="14" t="str">
        <x:v>PKD-121</x:v>
      </x:c>
      <x:c r="B122" s="14" t="str">
        <x:v>A2</x:v>
      </x:c>
      <x:c r="C122" s="14" t="str">
        <x:v>Health / Household survey</x:v>
      </x:c>
      <x:c r="D122" s="14" t="str">
        <x:v>DHS historical series and harmonized IPUMS subsets for Pakistan</x:v>
      </x:c>
      <x:c r="E122" s="14" t="str">
        <x:v>DHS Program / IPUMS DHS</x:v>
      </x:c>
      <x:c r="F122" s="14" t="str">
        <x:v>https://dhsprogram.com/</x:v>
      </x:c>
      <x:c r="G122" s="14" t="str">
        <x:v>https://microdata.worldbank.org/catalog/3683</x:v>
      </x:c>
      <x:c r="H122" s="14" t="str">
        <x:v>Survey reports, microdata and harmonized subset files depending on access</x:v>
      </x:c>
      <x:c r="I122" s="14" t="str">
        <x:v>Pakistan DHS 1990–91, 2006–07, 2012–13, 2017–18</x:v>
      </x:c>
      <x:c r="J122" s="14" t="str">
        <x:v>National and survey-specific sub-national domains</x:v>
      </x:c>
      <x:c r="K122" s="14" t="str">
        <x:v>Compare demographic and health outcomes over decades with harmonized variable definitions</x:v>
      </x:c>
      <x:c r="L122" s="14" t="str">
        <x:v>IPUMS subsets contain selected harmonized variables, not every original variable; keep original sample weights.</x:v>
      </x:c>
      <x:c r="M122" s="14" t="str">
        <x:v>Official page/catalog observed</x:v>
      </x:c>
      <x:c r="N122" s="14" t="str">
        <x:v>P2</x:v>
      </x:c>
      <x:c r="O122" s="18" t="str">
        <x:v>Not started</x:v>
      </x:c>
      <x:c r="P122" s="96"/>
    </x:row>
    <x:row r="123" ht="62" customHeight="1">
      <x:c r="A123" s="14" t="str">
        <x:v>PKD-122</x:v>
      </x:c>
      <x:c r="B123" s="14" t="str">
        <x:v>A2</x:v>
      </x:c>
      <x:c r="C123" s="14" t="str">
        <x:v>Health / Household survey</x:v>
      </x:c>
      <x:c r="D123" s="14" t="str">
        <x:v>Pakistan DHS 2017–18 microdata catalog</x:v>
      </x:c>
      <x:c r="E123" s="14" t="str">
        <x:v>NIPS / ICF; mirrored by World Bank Microdata Library</x:v>
      </x:c>
      <x:c r="F123" s="14" t="str">
        <x:v>https://microdata.worldbank.org/catalog/3411</x:v>
      </x:c>
      <x:c r="G123" s="14" t="str">
        <x:v>https://www.nips.org.pk/viewpublicdata</x:v>
      </x:c>
      <x:c r="H123" s="14" t="str">
        <x:v>Microdata plus questionnaires, DDI/XML/JSON documentation and report</x:v>
      </x:c>
      <x:c r="I123" s="14" t="str">
        <x:v>2017–18; previous DHS rounds include 1990–91, 2006–07 and 2012–13</x:v>
      </x:c>
      <x:c r="J123" s="14" t="str">
        <x:v>Nationally representative household survey; domain detail in sampling docs</x:v>
      </x:c>
      <x:c r="K123" s="14" t="str">
        <x:v>Fertility, maternal/child health, household wealth, nutrition, immunization, sanitation and gender</x:v>
      </x:c>
      <x:c r="L123" s="14" t="str">
        <x:v>Personal/household microdata may have access terms; apply weights and use recommended recode variables.</x:v>
      </x:c>
      <x:c r="M123" s="14" t="str">
        <x:v>Official page/catalog observed</x:v>
      </x:c>
      <x:c r="N123" s="14" t="str">
        <x:v>P1</x:v>
      </x:c>
      <x:c r="O123" s="18" t="str">
        <x:v>Not started</x:v>
      </x:c>
      <x:c r="P123" s="96"/>
    </x:row>
    <x:row r="124" ht="62" customHeight="1">
      <x:c r="A124" s="14" t="str">
        <x:v>PKD-123</x:v>
      </x:c>
      <x:c r="B124" s="14" t="str">
        <x:v>A2</x:v>
      </x:c>
      <x:c r="C124" s="14" t="str">
        <x:v>Human development</x:v>
      </x:c>
      <x:c r="D124" s="14" t="str">
        <x:v>UNDP Human Development Data Center</x:v>
      </x:c>
      <x:c r="E124" s="14" t="str">
        <x:v>UNDP</x:v>
      </x:c>
      <x:c r="F124" s="14" t="str">
        <x:v>https://hdr.undp.org/data-center</x:v>
      </x:c>
      <x:c r="G124" s="14" t="str"/>
      <x:c r="H124" s="14" t="str">
        <x:v>Downloadable indicator data and technical reports</x:v>
      </x:c>
      <x:c r="I124" s="14" t="str">
        <x:v>Annual / periodic HDI series and thematic measures</x:v>
      </x:c>
      <x:c r="J124" s="14" t="str">
        <x:v>Pakistan and international comparison</x:v>
      </x:c>
      <x:c r="K124" s="14" t="str">
        <x:v>HDI, inequality-adjusted development, gender-related indices and education/health/income comparisons</x:v>
      </x:c>
      <x:c r="L124" s="14" t="str">
        <x:v>Composite indices embed methodological choices; inspect component indicators before interpretation.</x:v>
      </x:c>
      <x:c r="M124" s="14" t="str">
        <x:v>Official page/catalog observed</x:v>
      </x:c>
      <x:c r="N124" s="14" t="str">
        <x:v>P2</x:v>
      </x:c>
      <x:c r="O124" s="18" t="str">
        <x:v>Not started</x:v>
      </x:c>
      <x:c r="P124" s="96"/>
    </x:row>
    <x:row r="125" ht="62" customHeight="1">
      <x:c r="A125" s="14" t="str">
        <x:v>PKD-124</x:v>
      </x:c>
      <x:c r="B125" s="14" t="str">
        <x:v>A2</x:v>
      </x:c>
      <x:c r="C125" s="14" t="str">
        <x:v>Humanitarian / Food security</x:v>
      </x:c>
      <x:c r="D125" s="14" t="str">
        <x:v>World Food Programme HungerMap LIVE</x:v>
      </x:c>
      <x:c r="E125" s="14" t="str">
        <x:v>WFP</x:v>
      </x:c>
      <x:c r="F125" s="14" t="str">
        <x:v>https://hungermap.wfp.org/</x:v>
      </x:c>
      <x:c r="G125" s="14" t="str"/>
      <x:c r="H125" s="14" t="str">
        <x:v>Interactive maps and country-level food insecurity/vulnerability indicators</x:v>
      </x:c>
      <x:c r="I125" s="14" t="str">
        <x:v>Current/periodic estimates depending on country and indicator</x:v>
      </x:c>
      <x:c r="J125" s="14" t="str">
        <x:v>National/sub-national where available</x:v>
      </x:c>
      <x:c r="K125" s="14" t="str">
        <x:v>Food insecurity, vulnerability, monitoring early warning and humanitarian planning</x:v>
      </x:c>
      <x:c r="L125" s="14" t="str">
        <x:v>Indicators may be nowcasts or modelled; verify survey origin, date and scale before using as observed prevalence.</x:v>
      </x:c>
      <x:c r="M125" s="14" t="str">
        <x:v>Official page/catalog observed</x:v>
      </x:c>
      <x:c r="N125" s="14" t="str">
        <x:v>P2</x:v>
      </x:c>
      <x:c r="O125" s="18" t="str">
        <x:v>Not started</x:v>
      </x:c>
      <x:c r="P125" s="96"/>
    </x:row>
    <x:row r="126" ht="62" customHeight="1">
      <x:c r="A126" s="14" t="str">
        <x:v>PKD-125</x:v>
      </x:c>
      <x:c r="B126" s="14" t="str">
        <x:v>A2</x:v>
      </x:c>
      <x:c r="C126" s="14" t="str">
        <x:v>Inequality / Wealth</x:v>
      </x:c>
      <x:c r="D126" s="14" t="str">
        <x:v>World Inequality Database</x:v>
      </x:c>
      <x:c r="E126" s="14" t="str">
        <x:v>World Inequality Lab</x:v>
      </x:c>
      <x:c r="F126" s="14" t="str">
        <x:v>https://wid.world/</x:v>
      </x:c>
      <x:c r="G126" s="14" t="str"/>
      <x:c r="H126" s="14" t="str">
        <x:v>Downloadable series, interactive charts and methodological papers</x:v>
      </x:c>
      <x:c r="I126" s="14" t="str">
        <x:v>Historical income/wealth distributions where estimates exist</x:v>
      </x:c>
      <x:c r="J126" s="14" t="str">
        <x:v>Pakistan and cross-country</x:v>
      </x:c>
      <x:c r="K126" s="14" t="str">
        <x:v>Top income shares, inequality, distributional national accounts and wealth distribution</x:v>
      </x:c>
      <x:c r="L126" s="14" t="str">
        <x:v>Some country-year series are estimates with varying source quality; inspect series notes and uncertainty.</x:v>
      </x:c>
      <x:c r="M126" s="14" t="str">
        <x:v>Official page/catalog observed</x:v>
      </x:c>
      <x:c r="N126" s="14" t="str">
        <x:v>P2</x:v>
      </x:c>
      <x:c r="O126" s="18" t="str">
        <x:v>Not started</x:v>
      </x:c>
      <x:c r="P126" s="96"/>
    </x:row>
    <x:row r="127" ht="62" customHeight="1">
      <x:c r="A127" s="14" t="str">
        <x:v>PKD-126</x:v>
      </x:c>
      <x:c r="B127" s="14" t="str">
        <x:v>A2</x:v>
      </x:c>
      <x:c r="C127" s="14" t="str">
        <x:v>International development finance</x:v>
      </x:c>
      <x:c r="D127" s="14" t="str">
        <x:v>Asian Development Bank Data Library / Pakistan indicators</x:v>
      </x:c>
      <x:c r="E127" s="14" t="str">
        <x:v>Asian Development Bank</x:v>
      </x:c>
      <x:c r="F127" s="14" t="str">
        <x:v>https://data.adb.org/dataset/pakistan-key-indicators</x:v>
      </x:c>
      <x:c r="G127" s="14" t="str"/>
      <x:c r="H127" s="14" t="str">
        <x:v>Excel and PDF indicator data; ADB Data Library datasets</x:v>
      </x:c>
      <x:c r="I127" s="14" t="str">
        <x:v>Annual/periodic time series, dataset specific</x:v>
      </x:c>
      <x:c r="J127" s="14" t="str">
        <x:v>Pakistan, regional comparisons, sectors</x:v>
      </x:c>
      <x:c r="K127" s="14" t="str">
        <x:v>Development indicators, macroeconomics, public finance, infrastructure, poverty, trade and social outcomes</x:v>
      </x:c>
      <x:c r="L127" s="14" t="str">
        <x:v>Check whether ADB is reproducing official national statistics or calculating its own harmonized indicator.</x:v>
      </x:c>
      <x:c r="M127" s="14" t="str">
        <x:v>Official page/catalog observed</x:v>
      </x:c>
      <x:c r="N127" s="14" t="str">
        <x:v>P2</x:v>
      </x:c>
      <x:c r="O127" s="18" t="str">
        <x:v>Not started</x:v>
      </x:c>
      <x:c r="P127" s="96"/>
    </x:row>
    <x:row r="128" ht="62" customHeight="1">
      <x:c r="A128" s="14" t="str">
        <x:v>PKD-127</x:v>
      </x:c>
      <x:c r="B128" s="14" t="str">
        <x:v>A2</x:v>
      </x:c>
      <x:c r="C128" s="14" t="str">
        <x:v>International macro / Financial data</x:v>
      </x:c>
      <x:c r="D128" s="14" t="str">
        <x:v>IMF Data portal</x:v>
      </x:c>
      <x:c r="E128" s="14" t="str">
        <x:v>International Monetary Fund</x:v>
      </x:c>
      <x:c r="F128" s="14" t="str">
        <x:v>https://data.imf.org/</x:v>
      </x:c>
      <x:c r="G128" s="14" t="str"/>
      <x:c r="H128" s="14" t="str">
        <x:v>Datasets, APIs/data query tools and downloadable series</x:v>
      </x:c>
      <x:c r="I128" s="14" t="str">
        <x:v>Dataset-specific frequencies and histories</x:v>
      </x:c>
      <x:c r="J128" s="14" t="str">
        <x:v>Pakistan and cross-country</x:v>
      </x:c>
      <x:c r="K128" s="14" t="str">
        <x:v>Balance of payments, government finance, national accounts, prices, financial statistics and forecasts</x:v>
      </x:c>
      <x:c r="L128" s="14" t="str">
        <x:v>IMF datasets have series-specific vintages/definitions; distinguish forecasts from reported data.</x:v>
      </x:c>
      <x:c r="M128" s="14" t="str">
        <x:v>Official page/catalog observed</x:v>
      </x:c>
      <x:c r="N128" s="14" t="str">
        <x:v>P2</x:v>
      </x:c>
      <x:c r="O128" s="18" t="str">
        <x:v>Not started</x:v>
      </x:c>
      <x:c r="P128" s="96"/>
    </x:row>
    <x:row r="129" ht="62" customHeight="1">
      <x:c r="A129" s="14" t="str">
        <x:v>PKD-128</x:v>
      </x:c>
      <x:c r="B129" s="14" t="str">
        <x:v>A2</x:v>
      </x:c>
      <x:c r="C129" s="14" t="str">
        <x:v>Labour / International comparability</x:v>
      </x:c>
      <x:c r="D129" s="14" t="str">
        <x:v>ILOSTAT bulk downloads and metadata</x:v>
      </x:c>
      <x:c r="E129" s="14" t="str">
        <x:v>International Labour Organization</x:v>
      </x:c>
      <x:c r="F129" s="14" t="str">
        <x:v>https://ilostat.ilo.org/data/bulk/</x:v>
      </x:c>
      <x:c r="G129" s="14" t="str">
        <x:v>Bulk download: https://ilostat.ilo.org/data/bulk/
Pakistan profile: https://ilostat.ilo.org/data/country-profiles/pak/</x:v>
      </x:c>
      <x:c r="H129" s="14" t="str">
        <x:v>Bulk statistical files and metadata for employment, unemployment, labour participation, wages, working time, informal employment and labour-force composition.</x:v>
      </x:c>
      <x:c r="I129" s="14" t="str">
        <x:v>Historical and current series by indicator; modelled/observed provenance differs</x:v>
      </x:c>
      <x:c r="J129" s="14" t="str">
        <x:v>Pakistan national series and international comparisons; subnational data varies</x:v>
      </x:c>
      <x:c r="K129" s="14" t="str">
        <x:v>Labour-market trends, international benchmarking, gender gaps and employment structure</x:v>
      </x:c>
      <x:c r="L129" s="14" t="str">
        <x:v>Some indicators are ILO modelled estimates and may not match the latest PBS survey; keep the estimate type visible.</x:v>
      </x:c>
      <x:c r="M129" s="14" t="str">
        <x:v>Official ILO data portal observed</x:v>
      </x:c>
      <x:c r="N129" s="14" t="str">
        <x:v>P1</x:v>
      </x:c>
      <x:c r="O129" s="18" t="str">
        <x:v>Not started</x:v>
      </x:c>
      <x:c r="P129" s="96"/>
    </x:row>
    <x:row r="130" ht="62" customHeight="1">
      <x:c r="A130" s="14" t="str">
        <x:v>PKD-129</x:v>
      </x:c>
      <x:c r="B130" s="14" t="str">
        <x:v>A2</x:v>
      </x:c>
      <x:c r="C130" s="14" t="str">
        <x:v>Labour / Jobs</x:v>
      </x:c>
      <x:c r="D130" s="14" t="str">
        <x:v>ILOSTAT country data and Pakistan profile</x:v>
      </x:c>
      <x:c r="E130" s="14" t="str">
        <x:v>International Labour Organization</x:v>
      </x:c>
      <x:c r="F130" s="14" t="str">
        <x:v>https://ilostat.ilo.org/data/country-profiles/pak/</x:v>
      </x:c>
      <x:c r="G130" s="14" t="str"/>
      <x:c r="H130" s="14" t="str">
        <x:v>Country profile, charts, spreadsheets and bulk data portal</x:v>
      </x:c>
      <x:c r="I130" s="14" t="str">
        <x:v>Historical labour series; official and modelled estimates marked separately</x:v>
      </x:c>
      <x:c r="J130" s="14" t="str">
        <x:v>National, sex/age and job categories where available</x:v>
      </x:c>
      <x:c r="K130" s="14" t="str">
        <x:v>Labour-force participation, unemployment, wages, informality, hours, occupational injury and social protection</x:v>
      </x:c>
      <x:c r="L130" s="14" t="str">
        <x:v>Separate national estimates from ILO modelled estimates; modelled sex-disaggregated series can differ from PBS LFS.</x:v>
      </x:c>
      <x:c r="M130" s="14" t="str">
        <x:v>Official page/catalog observed</x:v>
      </x:c>
      <x:c r="N130" s="14" t="str">
        <x:v>P2</x:v>
      </x:c>
      <x:c r="O130" s="18" t="str">
        <x:v>Not started</x:v>
      </x:c>
      <x:c r="P130" s="96"/>
    </x:row>
    <x:row r="131" ht="62" customHeight="1">
      <x:c r="A131" s="14" t="str">
        <x:v>PKD-130</x:v>
      </x:c>
      <x:c r="B131" s="14" t="str">
        <x:v>A2</x:v>
      </x:c>
      <x:c r="C131" s="14" t="str">
        <x:v>Labour / Jobs / Bulk files</x:v>
      </x:c>
      <x:c r="D131" s="14" t="str">
        <x:v>ILOSTAT bulk data download</x:v>
      </x:c>
      <x:c r="E131" s="14" t="str">
        <x:v>International Labour Organization</x:v>
      </x:c>
      <x:c r="F131" s="14" t="str">
        <x:v>https://ilostat.ilo.org/data/bulk/</x:v>
      </x:c>
      <x:c r="G131" s="14" t="str"/>
      <x:c r="H131" s="14" t="str">
        <x:v>Bulk CSV/SDMX data and metadata</x:v>
      </x:c>
      <x:c r="I131" s="14" t="str">
        <x:v>Long-run indicator time series, release specific</x:v>
      </x:c>
      <x:c r="J131" s="14" t="str">
        <x:v>Pakistan and cross-country; indicator-specific disaggregation</x:v>
      </x:c>
      <x:c r="K131" s="14" t="str">
        <x:v>Build reproducible labour dashboards and compare participation/jobs/wages across countries</x:v>
      </x:c>
      <x:c r="L131" s="14" t="str">
        <x:v>Bulk files can be large; record data version, indicator ID, source type and reference year.</x:v>
      </x:c>
      <x:c r="M131" s="14" t="str">
        <x:v>Official page/catalog observed</x:v>
      </x:c>
      <x:c r="N131" s="14" t="str">
        <x:v>P1</x:v>
      </x:c>
      <x:c r="O131" s="18" t="str">
        <x:v>Not started</x:v>
      </x:c>
      <x:c r="P131" s="96"/>
    </x:row>
    <x:row r="132" ht="62" customHeight="1">
      <x:c r="A132" s="14" t="str">
        <x:v>PKD-131</x:v>
      </x:c>
      <x:c r="B132" s="14" t="str">
        <x:v>A2</x:v>
      </x:c>
      <x:c r="C132" s="14" t="str">
        <x:v>Microdata catalogue / Surveys</x:v>
      </x:c>
      <x:c r="D132" s="14" t="str">
        <x:v>World Bank Microdata Library — Pakistan study catalogue</x:v>
      </x:c>
      <x:c r="E132" s="14" t="str">
        <x:v>World Bank Development Data Group</x:v>
      </x:c>
      <x:c r="F132" s="14" t="str">
        <x:v>https://microdata.worldbank.org/catalog/?country%5B%5D=pakistan&amp;page=1</x:v>
      </x:c>
      <x:c r="G132" s="14" t="str"/>
      <x:c r="H132" s="14" t="str">
        <x:v>Survey metadata, PDF documentation, DDI/XML/JSON metadata, downloadable or external-repository microdata</x:v>
      </x:c>
      <x:c r="I132" s="14" t="str">
        <x:v>Multiple years and survey types; catalogues are updated</x:v>
      </x:c>
      <x:c r="J132" s="14" t="str">
        <x:v>Pakistan; survey-by-survey coverage</x:v>
      </x:c>
      <x:c r="K132" s="14" t="str">
        <x:v>Discover household, enterprise, health, agriculture, humanitarian and labour survey datasets</x:v>
      </x:c>
      <x:c r="L132" s="14" t="str">
        <x:v>Some data are external, registration-gated or restricted; the catalog page is discovery, not proof of unrestricted download.</x:v>
      </x:c>
      <x:c r="M132" s="14" t="str">
        <x:v>Official page/catalog observed</x:v>
      </x:c>
      <x:c r="N132" s="14" t="str">
        <x:v>P1</x:v>
      </x:c>
      <x:c r="O132" s="18" t="str">
        <x:v>Not started</x:v>
      </x:c>
      <x:c r="P132" s="96"/>
    </x:row>
    <x:row r="133" ht="62" customHeight="1">
      <x:c r="A133" s="14" t="str">
        <x:v>PKD-132</x:v>
      </x:c>
      <x:c r="B133" s="14" t="str">
        <x:v>A2</x:v>
      </x:c>
      <x:c r="C133" s="14" t="str">
        <x:v>Open scholarly metadata</x:v>
      </x:c>
      <x:c r="D133" s="14" t="str">
        <x:v>OpenAlex</x:v>
      </x:c>
      <x:c r="E133" s="14" t="str">
        <x:v>OpenAlex</x:v>
      </x:c>
      <x:c r="F133" s="14" t="str">
        <x:v>https://openalex.org/</x:v>
      </x:c>
      <x:c r="G133" s="14" t="str"/>
      <x:c r="H133" s="14" t="str">
        <x:v>Open scholarly graph, metadata downloads and API</x:v>
      </x:c>
      <x:c r="I133" s="14" t="str">
        <x:v>Continuously updated work/author/institution records</x:v>
      </x:c>
      <x:c r="J133" s="14" t="str">
        <x:v>Search Pakistani authors, universities, topics and publication networks</x:v>
      </x:c>
      <x:c r="K133" s="14" t="str">
        <x:v>Bibliometric mapping, research landscape, citation/network analysis and discovery of datasets in papers</x:v>
      </x:c>
      <x:c r="L133" s="14" t="str">
        <x:v>Metadata matching and affiliations can be noisy; not an indicator of methodological quality.</x:v>
      </x:c>
      <x:c r="M133" s="14" t="str">
        <x:v>Official page/catalog observed</x:v>
      </x:c>
      <x:c r="N133" s="14" t="str">
        <x:v>P2</x:v>
      </x:c>
      <x:c r="O133" s="18" t="str">
        <x:v>Not started</x:v>
      </x:c>
      <x:c r="P133" s="96"/>
    </x:row>
    <x:row r="134" ht="62" customHeight="1">
      <x:c r="A134" s="14" t="str">
        <x:v>PKD-133</x:v>
      </x:c>
      <x:c r="B134" s="14" t="str">
        <x:v>A2</x:v>
      </x:c>
      <x:c r="C134" s="14" t="str">
        <x:v>Poverty / Inequality</x:v>
      </x:c>
      <x:c r="D134" s="14" t="str">
        <x:v>World Bank Poverty and Inequality Platform (PIP)</x:v>
      </x:c>
      <x:c r="E134" s="14" t="str">
        <x:v>World Bank</x:v>
      </x:c>
      <x:c r="F134" s="14" t="str">
        <x:v>https://pip.worldbank.org/</x:v>
      </x:c>
      <x:c r="G134" s="14" t="str"/>
      <x:c r="H134" s="14" t="str">
        <x:v>Interactive poverty/inequality tools, data download and methodological notes</x:v>
      </x:c>
      <x:c r="I134" s="14" t="str">
        <x:v>Country-specific survey-based estimates and poverty-line series</x:v>
      </x:c>
      <x:c r="J134" s="14" t="str">
        <x:v>National, some sub-national distributions where supported</x:v>
      </x:c>
      <x:c r="K134" s="14" t="str">
        <x:v>Poverty headcount, poverty gap, inequality, shared prosperity and distributional analysis</x:v>
      </x:c>
      <x:c r="L134" s="14" t="str">
        <x:v>Compare using the same poverty line, PPP vintage, survey year and welfare aggregate.</x:v>
      </x:c>
      <x:c r="M134" s="14" t="str">
        <x:v>Official page/catalog observed</x:v>
      </x:c>
      <x:c r="N134" s="14" t="str">
        <x:v>P2</x:v>
      </x:c>
      <x:c r="O134" s="18" t="str">
        <x:v>Not started</x:v>
      </x:c>
      <x:c r="P134" s="96"/>
    </x:row>
    <x:row r="135" ht="62" customHeight="1">
      <x:c r="A135" s="14" t="str">
        <x:v>PKD-134</x:v>
      </x:c>
      <x:c r="B135" s="14" t="str">
        <x:v>A2</x:v>
      </x:c>
      <x:c r="C135" s="14" t="str">
        <x:v>Poverty / Multidimensional poverty</x:v>
      </x:c>
      <x:c r="D135" s="14" t="str">
        <x:v>Pakistan national Multidimensional Poverty Index report</x:v>
      </x:c>
      <x:c r="E135" s="14" t="str">
        <x:v>UNDP Pakistan / Government of Pakistan</x:v>
      </x:c>
      <x:c r="F135" s="14" t="str">
        <x:v>https://www.undp.org/pakistan/publications/multidimensional-poverty-pakistan</x:v>
      </x:c>
      <x:c r="G135" s="14" t="str"/>
      <x:c r="H135" s="14" t="str">
        <x:v>PDF report with methodology and sub-national findings</x:v>
      </x:c>
      <x:c r="I135" s="14" t="str">
        <x:v>2016 national MPI publication; based on earlier household data</x:v>
      </x:c>
      <x:c r="J135" s="14" t="str">
        <x:v>National/provincial and district analysis as reported</x:v>
      </x:c>
      <x:c r="K135" s="14" t="str">
        <x:v>Non-monetary poverty, deprivation dimensions and regional inequalities</x:v>
      </x:c>
      <x:c r="L135" s="14" t="str">
        <x:v>Historical benchmark, not a current poverty estimate; methodology may differ from later MPI releases.</x:v>
      </x:c>
      <x:c r="M135" s="14" t="str">
        <x:v>Official page/catalog observed</x:v>
      </x:c>
      <x:c r="N135" s="14" t="str">
        <x:v>P2</x:v>
      </x:c>
      <x:c r="O135" s="18" t="str">
        <x:v>Not started</x:v>
      </x:c>
      <x:c r="P135" s="96"/>
    </x:row>
    <x:row r="136" ht="62" customHeight="1">
      <x:c r="A136" s="14" t="str">
        <x:v>PKD-135</x:v>
      </x:c>
      <x:c r="B136" s="14" t="str">
        <x:v>A2</x:v>
      </x:c>
      <x:c r="C136" s="14" t="str">
        <x:v>Poverty / Multidimensional poverty</x:v>
      </x:c>
      <x:c r="D136" s="14" t="str">
        <x:v>UNDP Global Multidimensional Poverty Index 2026 data tables</x:v>
      </x:c>
      <x:c r="E136" s="14" t="str">
        <x:v>UNDP / OPHI</x:v>
      </x:c>
      <x:c r="F136" s="14" t="str">
        <x:v>https://hdr.undp.org/content/2026-global-multidimensional-poverty-index</x:v>
      </x:c>
      <x:c r="G136" s="14" t="str"/>
      <x:c r="H136" s="14" t="str">
        <x:v>Excel tables 1–2, PDF report and technical note</x:v>
      </x:c>
      <x:c r="I136" s="14" t="str">
        <x:v>2026 statistical update; countries use different underlying survey years</x:v>
      </x:c>
      <x:c r="J136" s="14" t="str">
        <x:v>Cross-country; sub-national availability varies by country</x:v>
      </x:c>
      <x:c r="K136" s="14" t="str">
        <x:v>Compare multidimensional deprivation across health, education and living standards</x:v>
      </x:c>
      <x:c r="L136" s="14" t="str">
        <x:v>The '2026' release date is not the survey year for every country; inspect Pakistan country note and survey vintage.</x:v>
      </x:c>
      <x:c r="M136" s="14" t="str">
        <x:v>Official page/catalog observed</x:v>
      </x:c>
      <x:c r="N136" s="14" t="str">
        <x:v>P2</x:v>
      </x:c>
      <x:c r="O136" s="18" t="str">
        <x:v>Not started</x:v>
      </x:c>
      <x:c r="P136" s="96"/>
    </x:row>
    <x:row r="137" ht="62" customHeight="1">
      <x:c r="A137" s="14" t="str">
        <x:v>PKD-136</x:v>
      </x:c>
      <x:c r="B137" s="14" t="str">
        <x:v>A2</x:v>
      </x:c>
      <x:c r="C137" s="14" t="str">
        <x:v>Public finance / Fiscal</x:v>
      </x:c>
      <x:c r="D137" s="14" t="str">
        <x:v>IMF Fiscal Monitor</x:v>
      </x:c>
      <x:c r="E137" s="14" t="str">
        <x:v>IMF</x:v>
      </x:c>
      <x:c r="F137" s="14" t="str">
        <x:v>https://www.imf.org/en/Publications/FM</x:v>
      </x:c>
      <x:c r="G137" s="14" t="str"/>
      <x:c r="H137" s="14" t="str">
        <x:v>Report PDFs, tables and comparative fiscal datasets</x:v>
      </x:c>
      <x:c r="I137" s="14" t="str">
        <x:v>Periodic</x:v>
      </x:c>
      <x:c r="J137" s="14" t="str">
        <x:v>Country comparisons and fiscal aggregates</x:v>
      </x:c>
      <x:c r="K137" s="14" t="str">
        <x:v>Public debt, balances, revenue, spending, fiscal risks and policy comparisons</x:v>
      </x:c>
      <x:c r="L137" s="14" t="str">
        <x:v>Some data are estimates/projections and fiscal definitions may differ from national budget documents.</x:v>
      </x:c>
      <x:c r="M137" s="14" t="str">
        <x:v>Official page/catalog observed</x:v>
      </x:c>
      <x:c r="N137" s="14" t="str">
        <x:v>P2</x:v>
      </x:c>
      <x:c r="O137" s="18" t="str">
        <x:v>Not started</x:v>
      </x:c>
      <x:c r="P137" s="96"/>
    </x:row>
    <x:row r="138" ht="62" customHeight="1">
      <x:c r="A138" s="14" t="str">
        <x:v>PKD-137</x:v>
      </x:c>
      <x:c r="B138" s="14" t="str">
        <x:v>A2</x:v>
      </x:c>
      <x:c r="C138" s="14" t="str">
        <x:v>Research discovery / Economics</x:v>
      </x:c>
      <x:c r="D138" s="14" t="str">
        <x:v>RePEc / IDEAS economics research catalogue</x:v>
      </x:c>
      <x:c r="E138" s="14" t="str">
        <x:v>Research Papers in Economics network</x:v>
      </x:c>
      <x:c r="F138" s="14" t="str">
        <x:v>https://ideas.repec.org/</x:v>
      </x:c>
      <x:c r="G138" s="14" t="str"/>
      <x:c r="H138" s="14" t="str">
        <x:v>Working-paper records, author profiles, journal metadata and many linked full-text files</x:v>
      </x:c>
      <x:c r="I138" s="14" t="str">
        <x:v>Ongoing repository of historical and new papers</x:v>
      </x:c>
      <x:c r="J138" s="14" t="str">
        <x:v>Pakistan-focused and international economics work</x:v>
      </x:c>
      <x:c r="K138" s="14" t="str">
        <x:v>Find empirical papers, source data, replication files and literature on policy problems</x:v>
      </x:c>
      <x:c r="L138" s="14" t="str">
        <x:v>Repository indexes papers of varying status; identify working paper vs peer-reviewed final publication.</x:v>
      </x:c>
      <x:c r="M138" s="14" t="str">
        <x:v>Official page/catalog observed</x:v>
      </x:c>
      <x:c r="N138" s="14" t="str">
        <x:v>P1</x:v>
      </x:c>
      <x:c r="O138" s="18" t="str">
        <x:v>Not started</x:v>
      </x:c>
      <x:c r="P138" s="96"/>
    </x:row>
    <x:row r="139" ht="62" customHeight="1">
      <x:c r="A139" s="14" t="str">
        <x:v>PKD-138</x:v>
      </x:c>
      <x:c r="B139" s="14" t="str">
        <x:v>A2</x:v>
      </x:c>
      <x:c r="C139" s="14" t="str">
        <x:v>Research metadata / Verification</x:v>
      </x:c>
      <x:c r="D139" s="14" t="str">
        <x:v>Crossref DOI and publication metadata</x:v>
      </x:c>
      <x:c r="E139" s="14" t="str">
        <x:v>Crossref</x:v>
      </x:c>
      <x:c r="F139" s="14" t="str">
        <x:v>https://www.crossref.org/</x:v>
      </x:c>
      <x:c r="G139" s="14" t="str"/>
      <x:c r="H139" s="14" t="str">
        <x:v>Metadata search and REST API</x:v>
      </x:c>
      <x:c r="I139" s="14" t="str">
        <x:v>Historical and new DOI-registered outputs</x:v>
      </x:c>
      <x:c r="J139" s="14" t="str">
        <x:v>Pakistan-related papers/books/reports where registered</x:v>
      </x:c>
      <x:c r="K139" s="14" t="str">
        <x:v>Verify article title, DOI, publication date and publisher; trace primary research documents</x:v>
      </x:c>
      <x:c r="L139" s="14" t="str">
        <x:v>Metadata may omit full texts and is not an endorsement of research quality.</x:v>
      </x:c>
      <x:c r="M139" s="14" t="str">
        <x:v>Official page/catalog observed</x:v>
      </x:c>
      <x:c r="N139" s="14" t="str">
        <x:v>P2</x:v>
      </x:c>
      <x:c r="O139" s="18" t="str">
        <x:v>Not started</x:v>
      </x:c>
      <x:c r="P139" s="96"/>
    </x:row>
    <x:row r="140" ht="62" customHeight="1">
      <x:c r="A140" s="14" t="str">
        <x:v>PKD-139</x:v>
      </x:c>
      <x:c r="B140" s="14" t="str">
        <x:v>A2</x:v>
      </x:c>
      <x:c r="C140" s="14" t="str">
        <x:v>SDGs / Children</x:v>
      </x:c>
      <x:c r="D140" s="14" t="str">
        <x:v>UNICEF SDG progress assessment for Pakistan</x:v>
      </x:c>
      <x:c r="E140" s="14" t="str">
        <x:v>UNICEF</x:v>
      </x:c>
      <x:c r="F140" s="14" t="str">
        <x:v>https://data.unicef.org/sdgs/country/pak/</x:v>
      </x:c>
      <x:c r="G140" s="14" t="str"/>
      <x:c r="H140" s="14" t="str">
        <x:v>Interactive SDG indicator dashboard and supporting methods</x:v>
      </x:c>
      <x:c r="I140" s="14" t="str">
        <x:v>Indicator-specific historical points and progress assessments</x:v>
      </x:c>
      <x:c r="J140" s="14" t="str">
        <x:v>National / SDG target</x:v>
      </x:c>
      <x:c r="K140" s="14" t="str">
        <x:v>Child poverty, water/sanitation, education and gender-related SDGs</x:v>
      </x:c>
      <x:c r="L140" s="14" t="str">
        <x:v>Dashboard uses international SDG databases and global targets; distinguish from national targets/official surveys.</x:v>
      </x:c>
      <x:c r="M140" s="14" t="str">
        <x:v>Official page/catalog observed</x:v>
      </x:c>
      <x:c r="N140" s="14" t="str">
        <x:v>P2</x:v>
      </x:c>
      <x:c r="O140" s="18" t="str">
        <x:v>Not started</x:v>
      </x:c>
      <x:c r="P140" s="96"/>
    </x:row>
    <x:row r="141" ht="62" customHeight="1">
      <x:c r="A141" s="14" t="str">
        <x:v>PKD-140</x:v>
      </x:c>
      <x:c r="B141" s="14" t="str">
        <x:v>A2</x:v>
      </x:c>
      <x:c r="C141" s="14" t="str">
        <x:v>SDGs / Development</x:v>
      </x:c>
      <x:c r="D141" s="14" t="str">
        <x:v>UN Statistics SDG Country Profile: Pakistan</x:v>
      </x:c>
      <x:c r="E141" s="14" t="str">
        <x:v>UN Statistics Division</x:v>
      </x:c>
      <x:c r="F141" s="14" t="str">
        <x:v>https://unstats.un.org/sdgs/dataportal/countryprofiles/pak</x:v>
      </x:c>
      <x:c r="G141" s="14" t="str"/>
      <x:c r="H141" s="14" t="str">
        <x:v>Interactive country profile and indicator series</x:v>
      </x:c>
      <x:c r="I141" s="14" t="str">
        <x:v>SDG data updated by indicator; historical series vary</x:v>
      </x:c>
      <x:c r="J141" s="14" t="str">
        <x:v>National; SDG goal/indicator and some disaggregation</x:v>
      </x:c>
      <x:c r="K141" s="14" t="str">
        <x:v>Track poverty, health, education, gender, water, jobs, infrastructure, inequality and SDG progress</x:v>
      </x:c>
      <x:c r="L141" s="14" t="str">
        <x:v>International indicator data may differ from locally adopted definitions or have missing disaggregations.</x:v>
      </x:c>
      <x:c r="M141" s="14" t="str">
        <x:v>Official page/catalog observed</x:v>
      </x:c>
      <x:c r="N141" s="14" t="str">
        <x:v>P2</x:v>
      </x:c>
      <x:c r="O141" s="18" t="str">
        <x:v>Not started</x:v>
      </x:c>
      <x:c r="P141" s="96"/>
    </x:row>
    <x:row r="142" ht="62" customHeight="1">
      <x:c r="A142" s="14" t="str">
        <x:v>PKD-141</x:v>
      </x:c>
      <x:c r="B142" s="14" t="str">
        <x:v>A2</x:v>
      </x:c>
      <x:c r="C142" s="14" t="str">
        <x:v>Security / Military finance</x:v>
      </x:c>
      <x:c r="D142" s="14" t="str">
        <x:v>SIPRI databases</x:v>
      </x:c>
      <x:c r="E142" s="14" t="str">
        <x:v>Stockholm International Peace Research Institute</x:v>
      </x:c>
      <x:c r="F142" s="14" t="str">
        <x:v>https://www.sipri.org/databases</x:v>
      </x:c>
      <x:c r="G142" s="14" t="str"/>
      <x:c r="H142" s="14" t="str">
        <x:v>Downloadable databases, charts and research reports</x:v>
      </x:c>
      <x:c r="I142" s="14" t="str">
        <x:v>Annual military expenditure and arms-transfer history</x:v>
      </x:c>
      <x:c r="J142" s="14" t="str">
        <x:v>Pakistan and global comparisons</x:v>
      </x:c>
      <x:c r="K142" s="14" t="str">
        <x:v>Defence spending trends, arms imports/transfers and security-economy comparisons</x:v>
      </x:c>
      <x:c r="L142" s="14" t="str">
        <x:v>Military expenditure estimates and arms-transfer values reflect SIPRI methodologies and may not equal budget appropriation.</x:v>
      </x:c>
      <x:c r="M142" s="14" t="str">
        <x:v>Official page/catalog observed</x:v>
      </x:c>
      <x:c r="N142" s="14" t="str">
        <x:v>P2</x:v>
      </x:c>
      <x:c r="O142" s="18" t="str">
        <x:v>Not started</x:v>
      </x:c>
      <x:c r="P142" s="96"/>
    </x:row>
    <x:row r="143" ht="62" customHeight="1">
      <x:c r="A143" s="14" t="str">
        <x:v>PKD-142</x:v>
      </x:c>
      <x:c r="B143" s="14" t="str">
        <x:v>A2</x:v>
      </x:c>
      <x:c r="C143" s="14" t="str">
        <x:v>Social values / Surveys</x:v>
      </x:c>
      <x:c r="D143" s="14" t="str">
        <x:v>World Values Survey</x:v>
      </x:c>
      <x:c r="E143" s="14" t="str">
        <x:v>World Values Survey Association</x:v>
      </x:c>
      <x:c r="F143" s="14" t="str">
        <x:v>https://www.worldvaluessurvey.org/</x:v>
      </x:c>
      <x:c r="G143" s="14" t="str"/>
      <x:c r="H143" s="14" t="str">
        <x:v>Questionnaires, survey datasets and country-level reports where available</x:v>
      </x:c>
      <x:c r="I143" s="14" t="str">
        <x:v>Wave-based; country coverage differs by wave</x:v>
      </x:c>
      <x:c r="J143" s="14" t="str">
        <x:v>Pakistan if included in a given wave; respondent microdata</x:v>
      </x:c>
      <x:c r="K143" s="14" t="str">
        <x:v>Trust, social values, attitudes, norms, civic participation and political perceptions</x:v>
      </x:c>
      <x:c r="L143" s="14" t="str">
        <x:v>Confirm the actual Pakistan fieldwork year, sample, question wording and microdata access for each wave.</x:v>
      </x:c>
      <x:c r="M143" s="14" t="str">
        <x:v>Official page/catalog observed</x:v>
      </x:c>
      <x:c r="N143" s="14" t="str">
        <x:v>P2</x:v>
      </x:c>
      <x:c r="O143" s="18" t="str">
        <x:v>Not started</x:v>
      </x:c>
      <x:c r="P143" s="96"/>
    </x:row>
    <x:row r="144" ht="62" customHeight="1">
      <x:c r="A144" s="14" t="str">
        <x:v>PKD-143</x:v>
      </x:c>
      <x:c r="B144" s="14" t="str">
        <x:v>A2</x:v>
      </x:c>
      <x:c r="C144" s="14" t="str">
        <x:v>Trade / Commodity-level</x:v>
      </x:c>
      <x:c r="D144" s="14" t="str">
        <x:v>UN Comtrade Plus</x:v>
      </x:c>
      <x:c r="E144" s="14" t="str">
        <x:v>United Nations Statistics Division</x:v>
      </x:c>
      <x:c r="F144" s="14" t="str">
        <x:v>https://comtradeplus.un.org/</x:v>
      </x:c>
      <x:c r="G144" s="14" t="str"/>
      <x:c r="H144" s="14" t="str">
        <x:v>Commodity-by-country trade database, API and downloadable query results</x:v>
      </x:c>
      <x:c r="I144" s="14" t="str">
        <x:v>Monthly/annual; commodity classifications and country reporting vary</x:v>
      </x:c>
      <x:c r="J144" s="14" t="str">
        <x:v>Reporter Pakistan, partner, HS commodity code and trade flow</x:v>
      </x:c>
      <x:c r="K144" s="14" t="str">
        <x:v>Export diversification, import dependency, bilateral trade, product discovery and concentration indices</x:v>
      </x:c>
      <x:c r="L144" s="14" t="str">
        <x:v>Data are reported by customs authorities and can be revised; align HS revisions, valuation and mirror data.</x:v>
      </x:c>
      <x:c r="M144" s="14" t="str">
        <x:v>Official page/catalog observed</x:v>
      </x:c>
      <x:c r="N144" s="14" t="str">
        <x:v>P1</x:v>
      </x:c>
      <x:c r="O144" s="18" t="str">
        <x:v>Not started</x:v>
      </x:c>
      <x:c r="P144" s="96"/>
    </x:row>
    <x:row r="145" ht="62" customHeight="1">
      <x:c r="A145" s="14" t="str">
        <x:v>PKD-144</x:v>
      </x:c>
      <x:c r="B145" s="14" t="str">
        <x:v>A2</x:v>
      </x:c>
      <x:c r="C145" s="14" t="str">
        <x:v>Trade / Development</x:v>
      </x:c>
      <x:c r="D145" s="14" t="str">
        <x:v>UNCTADstat</x:v>
      </x:c>
      <x:c r="E145" s="14" t="str">
        <x:v>UN Trade and Development (UNCTAD)</x:v>
      </x:c>
      <x:c r="F145" s="14" t="str">
        <x:v>https://unctadstat.unctad.org/</x:v>
      </x:c>
      <x:c r="G145" s="14" t="str"/>
      <x:c r="H145" s="14" t="str">
        <x:v>Interactive datasets, charts, downloadable files and statistical profiles</x:v>
      </x:c>
      <x:c r="I145" s="14" t="str">
        <x:v>Long-run annual/monthly series depending on topic</x:v>
      </x:c>
      <x:c r="J145" s="14" t="str">
        <x:v>Pakistan and global comparisons</x:v>
      </x:c>
      <x:c r="K145" s="14" t="str">
        <x:v>Trade, investment, commodity dependence, maritime transport and development finance</x:v>
      </x:c>
      <x:c r="L145" s="14" t="str">
        <x:v>Check whether data are UNCTAD estimates or reproduced official sources, and note the series release.</x:v>
      </x:c>
      <x:c r="M145" s="14" t="str">
        <x:v>Official page/catalog observed</x:v>
      </x:c>
      <x:c r="N145" s="14" t="str">
        <x:v>P2</x:v>
      </x:c>
      <x:c r="O145" s="18" t="str">
        <x:v>Not started</x:v>
      </x:c>
      <x:c r="P145" s="96"/>
    </x:row>
    <x:row r="146" ht="62" customHeight="1">
      <x:c r="A146" s="14" t="str">
        <x:v>PKD-145</x:v>
      </x:c>
      <x:c r="B146" s="14" t="str">
        <x:v>A2</x:v>
      </x:c>
      <x:c r="C146" s="14" t="str">
        <x:v>Trade / Tariffs</x:v>
      </x:c>
      <x:c r="D146" s="14" t="str">
        <x:v>World Integrated Trade Solution (WITS)</x:v>
      </x:c>
      <x:c r="E146" s="14" t="str">
        <x:v>World Bank and partners</x:v>
      </x:c>
      <x:c r="F146" s="14" t="str">
        <x:v>https://wits.worldbank.org/</x:v>
      </x:c>
      <x:c r="G146" s="14" t="str"/>
      <x:c r="H146" s="14" t="str">
        <x:v>Trade, tariff and non-tariff indicator tools; downloads/access vary</x:v>
      </x:c>
      <x:c r="I146" s="14" t="str">
        <x:v>Historical trade/tariff years by source</x:v>
      </x:c>
      <x:c r="J146" s="14" t="str">
        <x:v>Pakistan and partner/product-level comparisons</x:v>
      </x:c>
      <x:c r="K146" s="14" t="str">
        <x:v>Tariff protection, import structure, exports, trade partners and product-level competitiveness</x:v>
      </x:c>
      <x:c r="L146" s="14" t="str">
        <x:v>A platform integrating multiple data providers; check source/HS code and access conditions.</x:v>
      </x:c>
      <x:c r="M146" s="14" t="str">
        <x:v>Official page/catalog observed</x:v>
      </x:c>
      <x:c r="N146" s="14" t="str">
        <x:v>P2</x:v>
      </x:c>
      <x:c r="O146" s="18" t="str">
        <x:v>Not started</x:v>
      </x:c>
      <x:c r="P146" s="96"/>
    </x:row>
    <x:row r="147" ht="62" customHeight="1">
      <x:c r="A147" s="14" t="str">
        <x:v>PKD-146</x:v>
      </x:c>
      <x:c r="B147" s="14" t="str">
        <x:v>A2</x:v>
      </x:c>
      <x:c r="C147" s="14" t="str">
        <x:v>Trade / Tariffs</x:v>
      </x:c>
      <x:c r="D147" s="14" t="str">
        <x:v>World Trade Organization Statistics portal</x:v>
      </x:c>
      <x:c r="E147" s="14" t="str">
        <x:v>WTO</x:v>
      </x:c>
      <x:c r="F147" s="14" t="str">
        <x:v>https://stats.wto.org/</x:v>
      </x:c>
      <x:c r="G147" s="14" t="str"/>
      <x:c r="H147" s="14" t="str">
        <x:v>Interactive tables and downloadable trade/tariff series</x:v>
      </x:c>
      <x:c r="I147" s="14" t="str">
        <x:v>Series-specific history</x:v>
      </x:c>
      <x:c r="J147" s="14" t="str">
        <x:v>Pakistan and international comparisons</x:v>
      </x:c>
      <x:c r="K147" s="14" t="str">
        <x:v>Goods/services trade, tariffs, trade policy and market access</x:v>
      </x:c>
      <x:c r="L147" s="14" t="str">
        <x:v>Check reporting year, aggregation and tariff measurement method.</x:v>
      </x:c>
      <x:c r="M147" s="14" t="str">
        <x:v>Official page/catalog observed</x:v>
      </x:c>
      <x:c r="N147" s="14" t="str">
        <x:v>P2</x:v>
      </x:c>
      <x:c r="O147" s="18" t="str">
        <x:v>Not started</x:v>
      </x:c>
      <x:c r="P147" s="96"/>
    </x:row>
    <x:row r="148" ht="62" customHeight="1">
      <x:c r="A148" s="14" t="str">
        <x:v>PKD-147</x:v>
      </x:c>
      <x:c r="B148" s="14" t="str">
        <x:v>A2</x:v>
      </x:c>
      <x:c r="C148" s="14" t="str">
        <x:v>Water / Agriculture</x:v>
      </x:c>
      <x:c r="D148" s="14" t="str">
        <x:v>FAO AQUASTAT</x:v>
      </x:c>
      <x:c r="E148" s="14" t="str">
        <x:v>FAO</x:v>
      </x:c>
      <x:c r="F148" s="14" t="str">
        <x:v>https://www.fao.org/aquastat/en/</x:v>
      </x:c>
      <x:c r="G148" s="14" t="str"/>
      <x:c r="H148" s="14" t="str">
        <x:v>Country water profiles, water statistics, maps and datasets</x:v>
      </x:c>
      <x:c r="I148" s="14" t="str">
        <x:v>Historical national water/agriculture series</x:v>
      </x:c>
      <x:c r="J148" s="14" t="str">
        <x:v>Pakistan national and comparison countries</x:v>
      </x:c>
      <x:c r="K148" s="14" t="str">
        <x:v>Water withdrawal, irrigation, resources, agricultural water productivity and water stress</x:v>
      </x:c>
      <x:c r="L148" s="14" t="str">
        <x:v>Water-use estimates are periodically updated and may rely on different national reporting vintages.</x:v>
      </x:c>
      <x:c r="M148" s="14" t="str">
        <x:v>Official page/catalog observed</x:v>
      </x:c>
      <x:c r="N148" s="14" t="str">
        <x:v>P1</x:v>
      </x:c>
      <x:c r="O148" s="18" t="str">
        <x:v>Not started</x:v>
      </x:c>
      <x:c r="P148" s="96"/>
    </x:row>
    <x:row r="149" ht="62" customHeight="1">
      <x:c r="A149" s="14" t="str">
        <x:v>PKD-148</x:v>
      </x:c>
      <x:c r="B149" s="14" t="str">
        <x:v>A2</x:v>
      </x:c>
      <x:c r="C149" s="14" t="str">
        <x:v>Water / Sanitation / Hygiene</x:v>
      </x:c>
      <x:c r="D149" s="14" t="str">
        <x:v>WHO/UNICEF Joint Monitoring Programme (JMP) Pakistan</x:v>
      </x:c>
      <x:c r="E149" s="14" t="str">
        <x:v>WHO / UNICEF</x:v>
      </x:c>
      <x:c r="F149" s="14" t="str">
        <x:v>https://washdata.org/countries/pakistan</x:v>
      </x:c>
      <x:c r="G149" s="14" t="str"/>
      <x:c r="H149" s="14" t="str">
        <x:v>Interactive charts, Excel downloads and MICS/survey report links</x:v>
      </x:c>
      <x:c r="I149" s="14" t="str">
        <x:v>National estimates over time; survey-based rounds and annual global updates</x:v>
      </x:c>
      <x:c r="J149" s="14" t="str">
        <x:v>Households, schools and health-care facilities; rural/urban and wealth inequalities where supported</x:v>
      </x:c>
      <x:c r="K149" s="14" t="str">
        <x:v>Access to drinking water, sanitation, hygiene and service levels</x:v>
      </x:c>
      <x:c r="L149" s="14" t="str">
        <x:v>JMP harmonizes many national surveys; the modeled series may differ from a single PBS table.</x:v>
      </x:c>
      <x:c r="M149" s="14" t="str">
        <x:v>Official page/catalog observed</x:v>
      </x:c>
      <x:c r="N149" s="14" t="str">
        <x:v>P2</x:v>
      </x:c>
      <x:c r="O149" s="18" t="str">
        <x:v>Not started</x:v>
      </x:c>
      <x:c r="P149" s="96"/>
    </x:row>
    <x:row r="150" ht="62" customHeight="1">
      <x:c r="A150" s="14" t="str">
        <x:v>PKD-149</x:v>
      </x:c>
      <x:c r="B150" s="14" t="str">
        <x:v>A2</x:v>
      </x:c>
      <x:c r="C150" s="14" t="str">
        <x:v>Water / Sanitation / Hygiene</x:v>
      </x:c>
      <x:c r="D150" s="14" t="str">
        <x:v>WHO/UNICEF Joint Monitoring Programme (JMP) — Pakistan WASH series</x:v>
      </x:c>
      <x:c r="E150" s="14" t="str">
        <x:v>WHO / UNICEF JMP</x:v>
      </x:c>
      <x:c r="F150" s="14" t="str">
        <x:v>https://washdata.org/countries/pakistan</x:v>
      </x:c>
      <x:c r="G150" s="14" t="str">
        <x:v>Pakistan country page: https://washdata.org/countries/pakistan
JMP data portal: https://washdata.org/data</x:v>
      </x:c>
      <x:c r="H150" s="14" t="str">
        <x:v>Downloadable XLSX/CSV indicator series and country estimates for drinking water, sanitation and hygiene; school and healthcare-facility WASH series where available.</x:v>
      </x:c>
      <x:c r="I150" s="14" t="str">
        <x:v>Historical comparable series; reference years vary by indicator</x:v>
      </x:c>
      <x:c r="J150" s="14" t="str">
        <x:v>National, urban/rural and service-setting breakdowns where available</x:v>
      </x:c>
      <x:c r="K150" s="14" t="str">
        <x:v>WASH access, service ladders, inequality, school facilities and health-care facility WASH</x:v>
      </x:c>
      <x:c r="L150" s="14" t="str">
        <x:v>These are internationally harmonized/modelled estimates using multiple sources; cite JMP methodology and keep distinct from a raw household survey tabulation.</x:v>
      </x:c>
      <x:c r="M150" s="14" t="str">
        <x:v>Official international data portal observed</x:v>
      </x:c>
      <x:c r="N150" s="14" t="str">
        <x:v>P2</x:v>
      </x:c>
      <x:c r="O150" s="18" t="str">
        <x:v>Not started</x:v>
      </x:c>
      <x:c r="P150" s="96"/>
    </x:row>
    <x:row r="151" ht="62" customHeight="1">
      <x:c r="A151" s="14" t="str">
        <x:v>PKD-150</x:v>
      </x:c>
      <x:c r="B151" s="14" t="str">
        <x:v>B</x:v>
      </x:c>
      <x:c r="C151" s="14" t="str">
        <x:v>Academic / Journal discovery</x:v>
      </x:c>
      <x:c r="D151" s="14" t="str">
        <x:v>PASTIC Pakistani scientific and technical journals directory</x:v>
      </x:c>
      <x:c r="E151" s="14" t="str">
        <x:v>PASTIC</x:v>
      </x:c>
      <x:c r="F151" s="14" t="str">
        <x:v>https://pastic.gov.pk/searchperiodicals.aspx</x:v>
      </x:c>
      <x:c r="G151" s="14" t="str"/>
      <x:c r="H151" s="14" t="str">
        <x:v>Searchable journal catalogue/metadata</x:v>
      </x:c>
      <x:c r="I151" s="14" t="str">
        <x:v>Journal-specific metadata</x:v>
      </x:c>
      <x:c r="J151" s="14" t="str">
        <x:v>Pakistan research ecosystem</x:v>
      </x:c>
      <x:c r="K151" s="14" t="str">
        <x:v>Find Pakistani journals for economics, health, education, social sciences and technology</x:v>
      </x:c>
      <x:c r="L151" s="14" t="str">
        <x:v>Journal listing/recognition is not a guarantee of quality of every paper; verify article-level methods.</x:v>
      </x:c>
      <x:c r="M151" s="14" t="str">
        <x:v>Official page/catalog observed</x:v>
      </x:c>
      <x:c r="N151" s="14" t="str">
        <x:v>P3</x:v>
      </x:c>
      <x:c r="O151" s="18" t="str">
        <x:v>Not started</x:v>
      </x:c>
      <x:c r="P151" s="96"/>
    </x:row>
    <x:row r="152" ht="62" customHeight="1">
      <x:c r="A152" s="14" t="str">
        <x:v>PKD-151</x:v>
      </x:c>
      <x:c r="B152" s="14" t="str">
        <x:v>B</x:v>
      </x:c>
      <x:c r="C152" s="14" t="str">
        <x:v>Academic / Thesis repository</x:v>
      </x:c>
      <x:c r="D152" s="14" t="str">
        <x:v>HEC Pakistan Research Repository</x:v>
      </x:c>
      <x:c r="E152" s="14" t="str">
        <x:v>Higher Education Commission Pakistan</x:v>
      </x:c>
      <x:c r="F152" s="14" t="str">
        <x:v>https://prr.hec.gov.pk/</x:v>
      </x:c>
      <x:c r="G152" s="14" t="str"/>
      <x:c r="H152" s="14" t="str">
        <x:v>Thesis/dissertation records and full texts where available</x:v>
      </x:c>
      <x:c r="I152" s="14" t="str">
        <x:v>Postgraduate theses across publication years</x:v>
      </x:c>
      <x:c r="J152" s="14" t="str">
        <x:v>Pakistani universities/researchers</x:v>
      </x:c>
      <x:c r="K152" s="14" t="str">
        <x:v>Find local empirical studies, historical tables, survey appendices and research on underserved topics</x:v>
      </x:c>
      <x:c r="L152" s="14" t="str">
        <x:v>Thesis quality, accessible data and methods vary; use theses as leads and cite carefully.</x:v>
      </x:c>
      <x:c r="M152" s="14" t="str">
        <x:v>Official page/catalog observed</x:v>
      </x:c>
      <x:c r="N152" s="14" t="str">
        <x:v>P3</x:v>
      </x:c>
      <x:c r="O152" s="18" t="str">
        <x:v>Not started</x:v>
      </x:c>
      <x:c r="P152" s="96"/>
    </x:row>
    <x:row r="153" ht="62" customHeight="1">
      <x:c r="A153" s="14" t="str">
        <x:v>PKD-152</x:v>
      </x:c>
      <x:c r="B153" s="14" t="str">
        <x:v>B</x:v>
      </x:c>
      <x:c r="C153" s="14" t="str">
        <x:v>Academic data archive</x:v>
      </x:c>
      <x:c r="D153" s="14" t="str">
        <x:v>IBA School of Economics and Social Sciences data archive</x:v>
      </x:c>
      <x:c r="E153" s="14" t="str">
        <x:v>Institute of Business Administration Karachi</x:v>
      </x:c>
      <x:c r="F153" s="14" t="str">
        <x:v>https://iba.edu.pk/sess/labs/sil/data-archive.php</x:v>
      </x:c>
      <x:c r="G153" s="14" t="str"/>
      <x:c r="H153" s="14" t="str">
        <x:v>Curated links to PBS PSLM/HIES, LFS and PDS microdata</x:v>
      </x:c>
      <x:c r="I153" s="14" t="str">
        <x:v>Includes PSLM 2019–20, HIES 2018–19, LFS 2020–21 and PDS 2020 links</x:v>
      </x:c>
      <x:c r="J153" s="14" t="str">
        <x:v>Pakistan, survey-specific</x:v>
      </x:c>
      <x:c r="K153" s="14" t="str">
        <x:v>One-page launch point for high-value household/labour microdata and documentation</x:v>
      </x:c>
      <x:c r="L153" s="14" t="str">
        <x:v>IBA links onward to original sources; use the original PBS page/version when available.</x:v>
      </x:c>
      <x:c r="M153" s="14" t="str">
        <x:v>Official page/catalog observed</x:v>
      </x:c>
      <x:c r="N153" s="14" t="str">
        <x:v>P2</x:v>
      </x:c>
      <x:c r="O153" s="18" t="str">
        <x:v>Not started</x:v>
      </x:c>
      <x:c r="P153" s="96"/>
    </x:row>
    <x:row r="154" ht="62" customHeight="1">
      <x:c r="A154" s="14" t="str">
        <x:v>PKD-153</x:v>
      </x:c>
      <x:c r="B154" s="14" t="str">
        <x:v>B</x:v>
      </x:c>
      <x:c r="C154" s="14" t="str">
        <x:v>Credit / Corporate risk</x:v>
      </x:c>
      <x:c r="D154" s="14" t="str">
        <x:v>PACRA sector research and rating reports</x:v>
      </x:c>
      <x:c r="E154" s="14" t="str">
        <x:v>PACRA</x:v>
      </x:c>
      <x:c r="F154" s="14" t="str">
        <x:v>https://www.pacra.com/</x:v>
      </x:c>
      <x:c r="G154" s="14" t="str"/>
      <x:c r="H154" s="14" t="str">
        <x:v>Credit-rating reports, sector studies and corporate analysis</x:v>
      </x:c>
      <x:c r="I154" s="14" t="str">
        <x:v>Ratings and sector reports updated by issue</x:v>
      </x:c>
      <x:c r="J154" s="14" t="str">
        <x:v>Rated firms and selected sectors</x:v>
      </x:c>
      <x:c r="K154" s="14" t="str">
        <x:v>Corporate financial risk, leverage, debt servicing and sector outlook</x:v>
      </x:c>
      <x:c r="L154" s="14" t="str">
        <x:v>Coverage is limited to rated/covered entities; rated-company samples are not representative of all businesses.</x:v>
      </x:c>
      <x:c r="M154" s="14" t="str">
        <x:v>Official page/catalog observed</x:v>
      </x:c>
      <x:c r="N154" s="14" t="str">
        <x:v>P3</x:v>
      </x:c>
      <x:c r="O154" s="18" t="str">
        <x:v>Not started</x:v>
      </x:c>
      <x:c r="P154" s="96"/>
    </x:row>
    <x:row r="155" ht="62" customHeight="1">
      <x:c r="A155" s="14" t="str">
        <x:v>PKD-154</x:v>
      </x:c>
      <x:c r="B155" s="14" t="str">
        <x:v>B</x:v>
      </x:c>
      <x:c r="C155" s="14" t="str">
        <x:v>Credit / Corporate risk</x:v>
      </x:c>
      <x:c r="D155" s="14" t="str">
        <x:v>VIS Credit Rating Company research and ratings</x:v>
      </x:c>
      <x:c r="E155" s="14" t="str">
        <x:v>VIS</x:v>
      </x:c>
      <x:c r="F155" s="14" t="str">
        <x:v>https://vis.com.pk/</x:v>
      </x:c>
      <x:c r="G155" s="14" t="str"/>
      <x:c r="H155" s="14" t="str">
        <x:v>Credit rating reports, sector analysis and press releases</x:v>
      </x:c>
      <x:c r="I155" s="14" t="str">
        <x:v>Study/rating dates</x:v>
      </x:c>
      <x:c r="J155" s="14" t="str">
        <x:v>Rated companies and financial institutions</x:v>
      </x:c>
      <x:c r="K155" s="14" t="str">
        <x:v>Company/sector credit quality, financial performance and risk signals</x:v>
      </x:c>
      <x:c r="L155" s="14" t="str">
        <x:v>Interpret rating scale and date; not a comprehensive official company-statistics database.</x:v>
      </x:c>
      <x:c r="M155" s="14" t="str">
        <x:v>Official page/catalog observed</x:v>
      </x:c>
      <x:c r="N155" s="14" t="str">
        <x:v>P3</x:v>
      </x:c>
      <x:c r="O155" s="18" t="str">
        <x:v>Not started</x:v>
      </x:c>
      <x:c r="P155" s="96"/>
    </x:row>
    <x:row r="156" ht="62" customHeight="1">
      <x:c r="A156" s="14" t="str">
        <x:v>PKD-155</x:v>
      </x:c>
      <x:c r="B156" s="14" t="str">
        <x:v>B</x:v>
      </x:c>
      <x:c r="C156" s="14" t="str">
        <x:v>Economic aggregator</x:v>
      </x:c>
      <x:c r="D156" s="14" t="str">
        <x:v>Trading Economics Pakistan indicators</x:v>
      </x:c>
      <x:c r="E156" s="14" t="str">
        <x:v>Trading Economics</x:v>
      </x:c>
      <x:c r="F156" s="14" t="str">
        <x:v>https://tradingeconomics.com/pakistan/indicators</x:v>
      </x:c>
      <x:c r="G156" s="14" t="str"/>
      <x:c r="H156" s="14" t="str">
        <x:v>Interactive indicators, charts, CSV/API services depending on plan</x:v>
      </x:c>
      <x:c r="I156" s="14" t="str">
        <x:v>Current and historical series; update frequency varies</x:v>
      </x:c>
      <x:c r="J156" s="14" t="str">
        <x:v>National and international comparisons</x:v>
      </x:c>
      <x:c r="K156" s="14" t="str">
        <x:v>Quick trend scans of CPI, GDP, rates, unemployment, trade and debt</x:v>
      </x:c>
      <x:c r="L156" s="14" t="str">
        <x:v>Secondary aggregation; check named upstream provider and data definition before citing.</x:v>
      </x:c>
      <x:c r="M156" s="14" t="str">
        <x:v>Official page/catalog observed</x:v>
      </x:c>
      <x:c r="N156" s="14" t="str">
        <x:v>P3</x:v>
      </x:c>
      <x:c r="O156" s="18" t="str">
        <x:v>Not started</x:v>
      </x:c>
      <x:c r="P156" s="96"/>
    </x:row>
    <x:row r="157" ht="62" customHeight="1">
      <x:c r="A157" s="14" t="str">
        <x:v>PKD-156</x:v>
      </x:c>
      <x:c r="B157" s="14" t="str">
        <x:v>B</x:v>
      </x:c>
      <x:c r="C157" s="14" t="str">
        <x:v>Economic aggregator / Commercial</x:v>
      </x:c>
      <x:c r="D157" s="14" t="str">
        <x:v>CEIC Pakistan macroeconomic database</x:v>
      </x:c>
      <x:c r="E157" s="14" t="str">
        <x:v>CEIC</x:v>
      </x:c>
      <x:c r="F157" s="14" t="str">
        <x:v>https://www.ceicdata.com/</x:v>
      </x:c>
      <x:c r="G157" s="14" t="str"/>
      <x:c r="H157" s="14" t="str">
        <x:v>Time-series database, charts, exports and paid data services</x:v>
      </x:c>
      <x:c r="I157" s="14" t="str">
        <x:v>Long-run series by indicator</x:v>
      </x:c>
      <x:c r="J157" s="14" t="str">
        <x:v>National, sector and market categories</x:v>
      </x:c>
      <x:c r="K157" s="14" t="str">
        <x:v>Historical series when a source website is difficult to navigate</x:v>
      </x:c>
      <x:c r="L157" s="14" t="str">
        <x:v>Subscription may be required; store source notes and verify against official series where possible.</x:v>
      </x:c>
      <x:c r="M157" s="14" t="str">
        <x:v>Official page/catalog observed</x:v>
      </x:c>
      <x:c r="N157" s="14" t="str">
        <x:v>P3</x:v>
      </x:c>
      <x:c r="O157" s="18" t="str">
        <x:v>Not started</x:v>
      </x:c>
      <x:c r="P157" s="96"/>
    </x:row>
    <x:row r="158" ht="62" customHeight="1">
      <x:c r="A158" s="14" t="str">
        <x:v>PKD-157</x:v>
      </x:c>
      <x:c r="B158" s="14" t="str">
        <x:v>B</x:v>
      </x:c>
      <x:c r="C158" s="14" t="str">
        <x:v>Economic indicators / Spreadsheets</x:v>
      </x:c>
      <x:c r="D158" s="14" t="str">
        <x:v>Policy Research &amp; Advisory Council (PRAC) data infographics</x:v>
      </x:c>
      <x:c r="E158" s="14" t="str">
        <x:v>PRAC</x:v>
      </x:c>
      <x:c r="F158" s="14" t="str">
        <x:v>https://www.prac.org.pk/data-infographics</x:v>
      </x:c>
      <x:c r="G158" s="14" t="str"/>
      <x:c r="H158" s="14" t="str">
        <x:v>Data infographics with Excel-sheet downloads, charts and monthly briefs</x:v>
      </x:c>
      <x:c r="I158" s="14" t="str">
        <x:v>Monthly/periodic series for trade, remittances, inflation, power generation, LSM and GDP</x:v>
      </x:c>
      <x:c r="J158" s="14" t="str">
        <x:v>National</x:v>
      </x:c>
      <x:c r="K158" s="14" t="str">
        <x:v>Quick Excel starting point for time-series and concise economic visuals</x:v>
      </x:c>
      <x:c r="L158" s="14" t="str">
        <x:v>Secondary compilation; compare series and dates against PBS/SBP/Finance Division before citing.</x:v>
      </x:c>
      <x:c r="M158" s="14" t="str">
        <x:v>Official page/catalog observed</x:v>
      </x:c>
      <x:c r="N158" s="14" t="str">
        <x:v>P3</x:v>
      </x:c>
      <x:c r="O158" s="18" t="str">
        <x:v>Not started</x:v>
      </x:c>
      <x:c r="P158" s="96"/>
    </x:row>
    <x:row r="159" ht="62" customHeight="1">
      <x:c r="A159" s="14" t="str">
        <x:v>PKD-158</x:v>
      </x:c>
      <x:c r="B159" s="14" t="str">
        <x:v>B</x:v>
      </x:c>
      <x:c r="C159" s="14" t="str">
        <x:v>Economic research</x:v>
      </x:c>
      <x:c r="D159" s="14" t="str">
        <x:v>Pakistan Institute of Development Economics (PIDE) research library</x:v>
      </x:c>
      <x:c r="E159" s="14" t="str">
        <x:v>PIDE</x:v>
      </x:c>
      <x:c r="F159" s="14" t="str">
        <x:v>https://pide.org.pk/</x:v>
      </x:c>
      <x:c r="G159" s="14" t="str"/>
      <x:c r="H159" s="14" t="str">
        <x:v>Working papers, policy briefs, books, research reports and presentations</x:v>
      </x:c>
      <x:c r="I159" s="14" t="str">
        <x:v>Continuous publications</x:v>
      </x:c>
      <x:c r="J159" s="14" t="str">
        <x:v>Pakistan and subnational/sector focus varies</x:v>
      </x:c>
      <x:c r="K159" s="14" t="str">
        <x:v>Taxation, productivity, public sector, urbanization, labour, poverty and macroeconomic policy analysis</x:v>
      </x:c>
      <x:c r="L159" s="14" t="str">
        <x:v>Individual papers vary by data quality and peer review; open the methodology and references.</x:v>
      </x:c>
      <x:c r="M159" s="14" t="str">
        <x:v>Official page/catalog observed</x:v>
      </x:c>
      <x:c r="N159" s="14" t="str">
        <x:v>P3</x:v>
      </x:c>
      <x:c r="O159" s="18" t="str">
        <x:v>Not started</x:v>
      </x:c>
      <x:c r="P159" s="96"/>
    </x:row>
    <x:row r="160" ht="62" customHeight="1">
      <x:c r="A160" s="14" t="str">
        <x:v>PKD-159</x:v>
      </x:c>
      <x:c r="B160" s="14" t="str">
        <x:v>B</x:v>
      </x:c>
      <x:c r="C160" s="14" t="str">
        <x:v>Education / Learning</x:v>
      </x:c>
      <x:c r="D160" s="14" t="str">
        <x:v>Annual Status of Education Report (ASER) Pakistan</x:v>
      </x:c>
      <x:c r="E160" s="14" t="str">
        <x:v>Idara-e-Taleem-o-Aagahi and partners</x:v>
      </x:c>
      <x:c r="F160" s="14" t="str">
        <x:v>https://aserpakistan.org/</x:v>
      </x:c>
      <x:c r="G160" s="14" t="str"/>
      <x:c r="H160" s="14" t="str">
        <x:v>Annual reports, survey findings, tables and selected district/province data</x:v>
      </x:c>
      <x:c r="I160" s="14" t="str">
        <x:v>Multiple survey years</x:v>
      </x:c>
      <x:c r="J160" s="14" t="str">
        <x:v>District/province and rural/urban depending on ASER round</x:v>
      </x:c>
      <x:c r="K160" s="14" t="str">
        <x:v>Foundational reading and arithmetic, school participation, household schooling and learning gaps</x:v>
      </x:c>
      <x:c r="L160" s="14" t="str">
        <x:v>Citizen-led assessment with its own sampling/design; don't equate directly with national official learning assessments.</x:v>
      </x:c>
      <x:c r="M160" s="14" t="str">
        <x:v>Official page/catalog observed</x:v>
      </x:c>
      <x:c r="N160" s="14" t="str">
        <x:v>P3</x:v>
      </x:c>
      <x:c r="O160" s="18" t="str">
        <x:v>Not started</x:v>
      </x:c>
      <x:c r="P160" s="96"/>
    </x:row>
    <x:row r="161" ht="62" customHeight="1">
      <x:c r="A161" s="14" t="str">
        <x:v>PKD-160</x:v>
      </x:c>
      <x:c r="B161" s="14" t="str">
        <x:v>B</x:v>
      </x:c>
      <x:c r="C161" s="14" t="str">
        <x:v>Empirical economics / Evaluation</x:v>
      </x:c>
      <x:c r="D161" s="14" t="str">
        <x:v>Centre for Economic Research in Pakistan (CERP)</x:v>
      </x:c>
      <x:c r="E161" s="14" t="str">
        <x:v>CERP</x:v>
      </x:c>
      <x:c r="F161" s="14" t="str">
        <x:v>https://cerp.org.pk/</x:v>
      </x:c>
      <x:c r="G161" s="14" t="str"/>
      <x:c r="H161" s="14" t="str">
        <x:v>Research papers, working papers, field experiments and impact evaluations</x:v>
      </x:c>
      <x:c r="I161" s="14" t="str">
        <x:v>Study-specific</x:v>
      </x:c>
      <x:c r="J161" s="14" t="str">
        <x:v>Pakistan study sites and sampled populations</x:v>
      </x:c>
      <x:c r="K161" s="14" t="str">
        <x:v>Policy programme impact, education, labour, poverty and service delivery evaluation</x:v>
      </x:c>
      <x:c r="L161" s="14" t="str">
        <x:v>Local experimental findings may not generalize nationally; inspect design, power and replication resources.</x:v>
      </x:c>
      <x:c r="M161" s="14" t="str">
        <x:v>Official page/catalog observed</x:v>
      </x:c>
      <x:c r="N161" s="14" t="str">
        <x:v>P3</x:v>
      </x:c>
      <x:c r="O161" s="18" t="str">
        <x:v>Not started</x:v>
      </x:c>
      <x:c r="P161" s="96"/>
    </x:row>
    <x:row r="162" ht="62" customHeight="1">
      <x:c r="A162" s="14" t="str">
        <x:v>PKD-161</x:v>
      </x:c>
      <x:c r="B162" s="14" t="str">
        <x:v>B</x:v>
      </x:c>
      <x:c r="C162" s="14" t="str">
        <x:v>Fiscal / Social policy</x:v>
      </x:c>
      <x:c r="D162" s="14" t="str">
        <x:v>Social Policy and Development Centre (SPDC) publications</x:v>
      </x:c>
      <x:c r="E162" s="14" t="str">
        <x:v>SPDC</x:v>
      </x:c>
      <x:c r="F162" s="14" t="str">
        <x:v>https://www.spdc.org.pk/</x:v>
      </x:c>
      <x:c r="G162" s="14" t="str"/>
      <x:c r="H162" s="14" t="str">
        <x:v>Research papers, policy reports, public-finance and social-sector analyses</x:v>
      </x:c>
      <x:c r="I162" s="14" t="str">
        <x:v>Historical and recent studies</x:v>
      </x:c>
      <x:c r="J162" s="14" t="str">
        <x:v>Pakistan, province and public-finance/sector coverage</x:v>
      </x:c>
      <x:c r="K162" s="14" t="str">
        <x:v>Budget analysis, provincial inequality, social spending, education, health, gender and poverty</x:v>
      </x:c>
      <x:c r="L162" s="14" t="str">
        <x:v>Analytical work often uses official data; preserve the original data vintage and model assumptions.</x:v>
      </x:c>
      <x:c r="M162" s="14" t="str">
        <x:v>Official page/catalog observed</x:v>
      </x:c>
      <x:c r="N162" s="14" t="str">
        <x:v>P3</x:v>
      </x:c>
      <x:c r="O162" s="18" t="str">
        <x:v>Not started</x:v>
      </x:c>
      <x:c r="P162" s="96"/>
    </x:row>
    <x:row r="163" ht="62" customHeight="1">
      <x:c r="A163" s="14" t="str">
        <x:v>PKD-162</x:v>
      </x:c>
      <x:c r="B163" s="14" t="str">
        <x:v>B</x:v>
      </x:c>
      <x:c r="C163" s="14" t="str">
        <x:v>Governance / Elections</x:v>
      </x:c>
      <x:c r="D163" s="14" t="str">
        <x:v>FAFEN election observation and parliamentary monitoring reports</x:v>
      </x:c>
      <x:c r="E163" s="14" t="str">
        <x:v>Free and Fair Election Network</x:v>
      </x:c>
      <x:c r="F163" s="14" t="str">
        <x:v>https://fafen.org/</x:v>
      </x:c>
      <x:c r="G163" s="14" t="str"/>
      <x:c r="H163" s="14" t="str">
        <x:v>Election reports, observation data and parliamentary monitoring publications</x:v>
      </x:c>
      <x:c r="I163" s="14" t="str">
        <x:v>Election cycles and parliament sessions</x:v>
      </x:c>
      <x:c r="J163" s="14" t="str">
        <x:v>Polling/constituency/parliamentary coverage by study</x:v>
      </x:c>
      <x:c r="K163" s="14" t="str">
        <x:v>Electoral integrity, turnout, participation, polling observations and legislative activity</x:v>
      </x:c>
      <x:c r="L163" s="14" t="str">
        <x:v>Observation coverage is not necessarily a full census of all polling places; read sampling/coverage statement.</x:v>
      </x:c>
      <x:c r="M163" s="14" t="str">
        <x:v>Official page/catalog observed</x:v>
      </x:c>
      <x:c r="N163" s="14" t="str">
        <x:v>P3</x:v>
      </x:c>
      <x:c r="O163" s="18" t="str">
        <x:v>Not started</x:v>
      </x:c>
      <x:c r="P163" s="96"/>
    </x:row>
    <x:row r="164" ht="62" customHeight="1">
      <x:c r="A164" s="14" t="str">
        <x:v>PKD-163</x:v>
      </x:c>
      <x:c r="B164" s="14" t="str">
        <x:v>B</x:v>
      </x:c>
      <x:c r="C164" s="14" t="str">
        <x:v>Governance / Parliament</x:v>
      </x:c>
      <x:c r="D164" s="14" t="str">
        <x:v>PILDAT democracy and institutional scorecards</x:v>
      </x:c>
      <x:c r="E164" s="14" t="str">
        <x:v>PILDAT</x:v>
      </x:c>
      <x:c r="F164" s="14" t="str">
        <x:v>https://pildat.org/</x:v>
      </x:c>
      <x:c r="G164" s="14" t="str"/>
      <x:c r="H164" s="14" t="str">
        <x:v>Scorecards, reports, surveys and policy papers</x:v>
      </x:c>
      <x:c r="I164" s="14" t="str">
        <x:v>Study-specific</x:v>
      </x:c>
      <x:c r="J164" s="14" t="str">
        <x:v>National/provincial institutions where covered</x:v>
      </x:c>
      <x:c r="K164" s="14" t="str">
        <x:v>Parliamentary performance, democracy, elections, public perception and governance</x:v>
      </x:c>
      <x:c r="L164" s="14" t="str">
        <x:v>Composite scores and expert assessments involve stated rubrics; use methodology and source material.</x:v>
      </x:c>
      <x:c r="M164" s="14" t="str">
        <x:v>Official page/catalog observed</x:v>
      </x:c>
      <x:c r="N164" s="14" t="str">
        <x:v>P3</x:v>
      </x:c>
      <x:c r="O164" s="18" t="str">
        <x:v>Not started</x:v>
      </x:c>
      <x:c r="P164" s="96"/>
    </x:row>
    <x:row r="165" ht="62" customHeight="1">
      <x:c r="A165" s="14" t="str">
        <x:v>PKD-164</x:v>
      </x:c>
      <x:c r="B165" s="14" t="str">
        <x:v>B</x:v>
      </x:c>
      <x:c r="C165" s="14" t="str">
        <x:v>Industry / Trade</x:v>
      </x:c>
      <x:c r="D165" s="14" t="str">
        <x:v>Pakistan Business Council research and trade statistics</x:v>
      </x:c>
      <x:c r="E165" s="14" t="str">
        <x:v>PBC</x:v>
      </x:c>
      <x:c r="F165" s="14" t="str">
        <x:v>https://www.pbc.org.pk/research-studies/trade-statistics/</x:v>
      </x:c>
      <x:c r="G165" s="14" t="str"/>
      <x:c r="H165" s="14" t="str">
        <x:v>Downloadable trade workbooks/briefs, sector studies and industry reports</x:v>
      </x:c>
      <x:c r="I165" s="14" t="str">
        <x:v>Monthly / FY comparisons and longer sector research</x:v>
      </x:c>
      <x:c r="J165" s="14" t="str">
        <x:v>National; commodity/service and sector levels</x:v>
      </x:c>
      <x:c r="K165" s="14" t="str">
        <x:v>Export competitiveness, trade in goods/services, industrial policy and market concentration</x:v>
      </x:c>
      <x:c r="L165" s="14" t="str">
        <x:v>Often a compiled/analytical layer using official data; reconcile period and currency with PBS/SBP.</x:v>
      </x:c>
      <x:c r="M165" s="14" t="str">
        <x:v>Official page/catalog observed</x:v>
      </x:c>
      <x:c r="N165" s="14" t="str">
        <x:v>P3</x:v>
      </x:c>
      <x:c r="O165" s="18" t="str">
        <x:v>Not started</x:v>
      </x:c>
      <x:c r="P165" s="96"/>
    </x:row>
    <x:row r="166" ht="62" customHeight="1">
      <x:c r="A166" s="14" t="str">
        <x:v>PKD-165</x:v>
      </x:c>
      <x:c r="B166" s="14" t="str">
        <x:v>B</x:v>
      </x:c>
      <x:c r="C166" s="14" t="str">
        <x:v>Labour / Gender</x:v>
      </x:c>
      <x:c r="D166" s="14" t="str">
        <x:v>Pakistan Institute of Labour Education and Research (PILER)</x:v>
      </x:c>
      <x:c r="E166" s="14" t="str">
        <x:v>PILER</x:v>
      </x:c>
      <x:c r="F166" s="14" t="str">
        <x:v>https://piler.org/</x:v>
      </x:c>
      <x:c r="G166" s="14" t="str"/>
      <x:c r="H166" s="14" t="str">
        <x:v>Labour reports, wage/working-condition studies, rights publications and research</x:v>
      </x:c>
      <x:c r="I166" s="14" t="str">
        <x:v>Study-specific, including historical labour studies</x:v>
      </x:c>
      <x:c r="J166" s="14" t="str">
        <x:v>National/sectoral and local workplace studies</x:v>
      </x:c>
      <x:c r="K166" s="14" t="str">
        <x:v>Informal economy, gendered labour, industrial relations, workers' rights and social protection</x:v>
      </x:c>
      <x:c r="L166" s="14" t="str">
        <x:v>Check sample, respondent type and whether a statistic comes from an independent survey or official series.</x:v>
      </x:c>
      <x:c r="M166" s="14" t="str">
        <x:v>Official page/catalog observed</x:v>
      </x:c>
      <x:c r="N166" s="14" t="str">
        <x:v>P3</x:v>
      </x:c>
      <x:c r="O166" s="18" t="str">
        <x:v>Not started</x:v>
      </x:c>
      <x:c r="P166" s="96"/>
    </x:row>
    <x:row r="167" ht="62" customHeight="1">
      <x:c r="A167" s="14" t="str">
        <x:v>PKD-166</x:v>
      </x:c>
      <x:c r="B167" s="14" t="str">
        <x:v>B</x:v>
      </x:c>
      <x:c r="C167" s="14" t="str">
        <x:v>Open data / Curated Pakistan data</x:v>
      </x:c>
      <x:c r="D167" s="14" t="str">
        <x:v>PPRI Pakistan Data Observatory — open public data downloads</x:v>
      </x:c>
      <x:c r="E167" s="14" t="str">
        <x:v>Pakistan Provincial Reform Institute (PPRI), based on cited official sources</x:v>
      </x:c>
      <x:c r="F167" s="14" t="str">
        <x:v>https://ppripakistan.github.io/data/downloads/</x:v>
      </x:c>
      <x:c r="G167" s="14" t="str">
        <x:v>Dataset/download landing page: https://ppripakistan.github.io/data/downloads/</x:v>
      </x:c>
      <x:c r="H167" s="14" t="str">
        <x:v>Machine-readable CSV datasets compiled from PBS, Finance Division and SBP publications; catalog describes census, HIES, prices, macroeconomic/debt and digital-access extracts.</x:v>
      </x:c>
      <x:c r="I167" s="14" t="str">
        <x:v>Current curated release; check dataset-specific metadata and source vintages</x:v>
      </x:c>
      <x:c r="J167" s="14" t="str">
        <x:v>National/provincial and specific published indicators</x:v>
      </x:c>
      <x:c r="K167" s="14" t="str">
        <x:v>Quick analysis, prototypes, charting, data-pipeline testing and reproducible notebooks</x:v>
      </x:c>
      <x:c r="L167" s="14" t="str">
        <x:v>Curated/derived rather than original data; cite both PPRI and original source, verify values against source tables, and inspect license/version notes.</x:v>
      </x:c>
      <x:c r="M167" s="14" t="str">
        <x:v>Public catalogue observed</x:v>
      </x:c>
      <x:c r="N167" s="14" t="str">
        <x:v>P2</x:v>
      </x:c>
      <x:c r="O167" s="18" t="str">
        <x:v>Not started</x:v>
      </x:c>
      <x:c r="P167" s="96"/>
    </x:row>
    <x:row r="168" ht="62" customHeight="1">
      <x:c r="A168" s="14" t="str">
        <x:v>PKD-167</x:v>
      </x:c>
      <x:c r="B168" s="14" t="str">
        <x:v>B</x:v>
      </x:c>
      <x:c r="C168" s="14" t="str">
        <x:v>Open data / Data warehouse</x:v>
      </x:c>
      <x:c r="D168" s="14" t="str">
        <x:v>Data Darbar — machine-readable Pakistan data warehouse</x:v>
      </x:c>
      <x:c r="E168" s="14" t="str">
        <x:v>Adaad / Data Darbar</x:v>
      </x:c>
      <x:c r="F168" s="14" t="str">
        <x:v>https://darbar.adaad.org/datasets/</x:v>
      </x:c>
      <x:c r="G168" s="14" t="str">
        <x:v>Dataset catalogue: https://darbar.adaad.org/datasets/</x:v>
      </x:c>
      <x:c r="H168" s="14" t="str">
        <x:v>Open catalog plus queryable DuckDB/Parquet warehouse of census, household/labour surveys, detailed trade, national accounts, federal budget and SBP series.</x:v>
      </x:c>
      <x:c r="I168" s="14" t="str">
        <x:v>Coverage follows underlying source vintages; catalogue updates should be checked</x:v>
      </x:c>
      <x:c r="J168" s="14" t="str">
        <x:v>National, province, district/tehsil depending on series</x:v>
      </x:c>
      <x:c r="K168" s="14" t="str">
        <x:v>Bulk analytical exploration, merges, cross-dataset comparisons and GIS-linked indicators</x:v>
      </x:c>
      <x:c r="L168" s="14" t="str">
        <x:v>An independent cleaned/assembled layer rather than the source authority. Verify provenance, transformations, dropped rows and geographic crosswalks before publication.</x:v>
      </x:c>
      <x:c r="M168" s="14" t="str">
        <x:v>Public data catalogue observed</x:v>
      </x:c>
      <x:c r="N168" s="14" t="str">
        <x:v>P2</x:v>
      </x:c>
      <x:c r="O168" s="18" t="str">
        <x:v>Not started</x:v>
      </x:c>
      <x:c r="P168" s="96"/>
    </x:row>
    <x:row r="169" ht="62" customHeight="1">
      <x:c r="A169" s="14" t="str">
        <x:v>PKD-168</x:v>
      </x:c>
      <x:c r="B169" s="14" t="str">
        <x:v>B</x:v>
      </x:c>
      <x:c r="C169" s="14" t="str">
        <x:v>Open data / General</x:v>
      </x:c>
      <x:c r="D169" s="14" t="str">
        <x:v>Open Data Pakistan catalogue</x:v>
      </x:c>
      <x:c r="E169" s="14" t="str">
        <x:v>Open Data Pakistan</x:v>
      </x:c>
      <x:c r="F169" s="14" t="str">
        <x:v>https://opendata.com.pk/</x:v>
      </x:c>
      <x:c r="G169" s="14" t="str"/>
      <x:c r="H169" s="14" t="str">
        <x:v>Dataset records with downloads, source metadata and formats depending on dataset</x:v>
      </x:c>
      <x:c r="I169" s="14" t="str">
        <x:v>Many domains; upload dates vary</x:v>
      </x:c>
      <x:c r="J169" s="14" t="str">
        <x:v>Pakistan and province/district if source provides</x:v>
      </x:c>
      <x:c r="K169" s="14" t="str">
        <x:v>Locate secondary copies/cleanings of surveys, government tables and public datasets</x:v>
      </x:c>
      <x:c r="L169" s="14" t="str">
        <x:v>Confirm whether uploader is the source owner; check license, update, completeness and official source link.</x:v>
      </x:c>
      <x:c r="M169" s="14" t="str">
        <x:v>Official page/catalog observed</x:v>
      </x:c>
      <x:c r="N169" s="14" t="str">
        <x:v>P2</x:v>
      </x:c>
      <x:c r="O169" s="18" t="str">
        <x:v>Not started</x:v>
      </x:c>
      <x:c r="P169" s="96"/>
    </x:row>
    <x:row r="170" ht="62" customHeight="1">
      <x:c r="A170" s="14" t="str">
        <x:v>PKD-169</x:v>
      </x:c>
      <x:c r="B170" s="14" t="str">
        <x:v>B</x:v>
      </x:c>
      <x:c r="C170" s="14" t="str">
        <x:v>Open data / Household surveys</x:v>
      </x:c>
      <x:c r="D170" s="14" t="str">
        <x:v>Data for Development Pakistan — dataset catalogue</x:v>
      </x:c>
      <x:c r="E170" s="14" t="str">
        <x:v>SDPI Pakistan / partner initiative</x:v>
      </x:c>
      <x:c r="F170" s="14" t="str">
        <x:v>https://sdpipakistan.org/</x:v>
      </x:c>
      <x:c r="G170" s="14" t="str"/>
      <x:c r="H170" s="14" t="str">
        <x:v>Topic-based survey and dataset discovery, PDFs and linked datasets</x:v>
      </x:c>
      <x:c r="I170" s="14" t="str">
        <x:v>Includes PDHS rounds, Maternal Mortality Survey 2019, Agriculture Census and Economic Census entries</x:v>
      </x:c>
      <x:c r="J170" s="14" t="str">
        <x:v>Pakistan and provincial/sector-specific</x:v>
      </x:c>
      <x:c r="K170" s="14" t="str">
        <x:v>Find health, education, gender, agriculture, nutrition, housing, communication and WASH data in one place</x:v>
      </x:c>
      <x:c r="L170" s="14" t="str">
        <x:v>Treat it as a discovery catalogue; the original publisher and access permissions control each file.</x:v>
      </x:c>
      <x:c r="M170" s="14" t="str">
        <x:v>Official page/catalog observed</x:v>
      </x:c>
      <x:c r="N170" s="14" t="str">
        <x:v>P2</x:v>
      </x:c>
      <x:c r="O170" s="18" t="str">
        <x:v>Not started</x:v>
      </x:c>
      <x:c r="P170" s="96"/>
    </x:row>
    <x:row r="171" ht="62" customHeight="1">
      <x:c r="A171" s="14" t="str">
        <x:v>PKD-170</x:v>
      </x:c>
      <x:c r="B171" s="14" t="str">
        <x:v>B</x:v>
      </x:c>
      <x:c r="C171" s="14" t="str">
        <x:v>Open visualization / Research aggregation</x:v>
      </x:c>
      <x:c r="D171" s="14" t="str">
        <x:v>Our World in Data — Pakistan-related charts and source data</x:v>
      </x:c>
      <x:c r="E171" s="14" t="str">
        <x:v>Our World in Data</x:v>
      </x:c>
      <x:c r="F171" s="14" t="str">
        <x:v>https://ourworldindata.org/</x:v>
      </x:c>
      <x:c r="G171" s="14" t="str"/>
      <x:c r="H171" s="14" t="str">
        <x:v>Interactive charts, CSV downloads and source documentation</x:v>
      </x:c>
      <x:c r="I171" s="14" t="str">
        <x:v>Global and historical indicator coverage</x:v>
      </x:c>
      <x:c r="J171" s="14" t="str">
        <x:v>Pakistan and cross-country</x:v>
      </x:c>
      <x:c r="K171" s="14" t="str">
        <x:v>Fast exploratory comparison for health, poverty, population, education, food, energy and climate</x:v>
      </x:c>
      <x:c r="L171" s="14" t="str">
        <x:v>OWID is a documentation/visualization layer; click through to original source and account for revisions.</x:v>
      </x:c>
      <x:c r="M171" s="14" t="str">
        <x:v>Official page/catalog observed</x:v>
      </x:c>
      <x:c r="N171" s="14" t="str">
        <x:v>P3</x:v>
      </x:c>
      <x:c r="O171" s="18" t="str">
        <x:v>Not started</x:v>
      </x:c>
      <x:c r="P171" s="96"/>
    </x:row>
    <x:row r="172" ht="62" customHeight="1">
      <x:c r="A172" s="14" t="str">
        <x:v>PKD-171</x:v>
      </x:c>
      <x:c r="B172" s="14" t="str">
        <x:v>B</x:v>
      </x:c>
      <x:c r="C172" s="14" t="str">
        <x:v>Open-data aggregator / Methodology</x:v>
      </x:c>
      <x:c r="D172" s="14" t="str">
        <x:v>Data Darbar sources and methodology</x:v>
      </x:c>
      <x:c r="E172" s="14" t="str">
        <x:v>Adaad / Data Darbar</x:v>
      </x:c>
      <x:c r="F172" s="14" t="str">
        <x:v>https://darbar.adaad.org/datasets/</x:v>
      </x:c>
      <x:c r="G172" s="14" t="str"/>
      <x:c r="H172" s="14" t="str">
        <x:v>Source-file catalogue, field definitions, limitations and data documentation</x:v>
      </x:c>
      <x:c r="I172" s="14" t="str">
        <x:v>Warehouse source snapshots vary by dataset</x:v>
      </x:c>
      <x:c r="J172" s="14" t="str">
        <x:v>Cross-source, national and district data</x:v>
      </x:c>
      <x:c r="K172" s="14" t="str">
        <x:v>Identify original files, provenance, derived variables and limitations before using a ready-made dataset</x:v>
      </x:c>
      <x:c r="L172" s="14" t="str">
        <x:v>Not the official producer; validate transformations and licensing at source.</x:v>
      </x:c>
      <x:c r="M172" s="14" t="str">
        <x:v>Official page/catalog observed</x:v>
      </x:c>
      <x:c r="N172" s="14" t="str">
        <x:v>P3</x:v>
      </x:c>
      <x:c r="O172" s="18" t="str">
        <x:v>Not started</x:v>
      </x:c>
      <x:c r="P172" s="96"/>
    </x:row>
    <x:row r="173" ht="62" customHeight="1">
      <x:c r="A173" s="14" t="str">
        <x:v>PKD-172</x:v>
      </x:c>
      <x:c r="B173" s="14" t="str">
        <x:v>B</x:v>
      </x:c>
      <x:c r="C173" s="14" t="str">
        <x:v>Open-data aggregator / Pakistan</x:v>
      </x:c>
      <x:c r="D173" s="14" t="str">
        <x:v>Data Darbar open Pakistan data catalogue</x:v>
      </x:c>
      <x:c r="E173" s="14" t="str">
        <x:v>Adaad / Data Darbar</x:v>
      </x:c>
      <x:c r="F173" s="14" t="str">
        <x:v>https://darbar.adaad.org/datasets/</x:v>
      </x:c>
      <x:c r="G173" s="14" t="str"/>
      <x:c r="H173" s="14" t="str">
        <x:v>Downloadable CSV/Parquet datasets; queryable DuckDB warehouse; source-file index</x:v>
      </x:c>
      <x:c r="I173" s="14" t="str">
        <x:v>Census, labour/household surveys, trade, national accounts, budgets and SBP series</x:v>
      </x:c>
      <x:c r="J173" s="14" t="str">
        <x:v>District/tehsil and national, according to underlying source</x:v>
      </x:c>
      <x:c r="K173" s="14" t="str">
        <x:v>Rapid access to cleaned official data, district panel tables, trade, budgets and custom joins</x:v>
      </x:c>
      <x:c r="L173" s="14" t="str">
        <x:v>Derived/cleaned layer; document the upstream source/version and verify critical values against PBS/Finance/SBP.</x:v>
      </x:c>
      <x:c r="M173" s="14" t="str">
        <x:v>Official page/catalog observed</x:v>
      </x:c>
      <x:c r="N173" s="14" t="str">
        <x:v>P2</x:v>
      </x:c>
      <x:c r="O173" s="18" t="str">
        <x:v>Not started</x:v>
      </x:c>
      <x:c r="P173" s="96"/>
    </x:row>
    <x:row r="174" ht="62" customHeight="1">
      <x:c r="A174" s="14" t="str">
        <x:v>PKD-173</x:v>
      </x:c>
      <x:c r="B174" s="14" t="str">
        <x:v>B</x:v>
      </x:c>
      <x:c r="C174" s="14" t="str">
        <x:v>Policy research / Digital</x:v>
      </x:c>
      <x:c r="D174" s="14" t="str">
        <x:v>Tabadlab research library</x:v>
      </x:c>
      <x:c r="E174" s="14" t="str">
        <x:v>Tabadlab</x:v>
      </x:c>
      <x:c r="F174" s="14" t="str">
        <x:v>https://tabadlab.com/</x:v>
      </x:c>
      <x:c r="G174" s="14" t="str"/>
      <x:c r="H174" s="14" t="str">
        <x:v>Policy reports, research briefs and public-service/digital-policy analysis</x:v>
      </x:c>
      <x:c r="I174" s="14" t="str">
        <x:v>Study-specific</x:v>
      </x:c>
      <x:c r="J174" s="14" t="str">
        <x:v>Pakistan and sector-specific</x:v>
      </x:c>
      <x:c r="K174" s="14" t="str">
        <x:v>Governance, service delivery, health, digital transformation, technology and economic reform</x:v>
      </x:c>
      <x:c r="L174" s="14" t="str">
        <x:v>Synthesis and policy recommendations rather than primary national data in most outputs.</x:v>
      </x:c>
      <x:c r="M174" s="14" t="str">
        <x:v>Official page/catalog observed</x:v>
      </x:c>
      <x:c r="N174" s="14" t="str">
        <x:v>P3</x:v>
      </x:c>
      <x:c r="O174" s="18" t="str">
        <x:v>Not started</x:v>
      </x:c>
      <x:c r="P174" s="96"/>
    </x:row>
    <x:row r="175" ht="62" customHeight="1">
      <x:c r="A175" s="14" t="str">
        <x:v>PKD-174</x:v>
      </x:c>
      <x:c r="B175" s="14" t="str">
        <x:v>B</x:v>
      </x:c>
      <x:c r="C175" s="14" t="str">
        <x:v>Research discovery / Dataset search</x:v>
      </x:c>
      <x:c r="D175" s="14" t="str">
        <x:v>Google Dataset Search</x:v>
      </x:c>
      <x:c r="E175" s="14" t="str">
        <x:v>Google</x:v>
      </x:c>
      <x:c r="F175" s="14" t="str">
        <x:v>https://datasetsearch.research.google.com/</x:v>
      </x:c>
      <x:c r="G175" s="14" t="str"/>
      <x:c r="H175" s="14" t="str">
        <x:v>Search index with external links to datasets</x:v>
      </x:c>
      <x:c r="I175" s="14" t="str">
        <x:v>Depends on indexed source</x:v>
      </x:c>
      <x:c r="J175" s="14" t="str">
        <x:v>Global; Pakistan queryable</x:v>
      </x:c>
      <x:c r="K175" s="14" t="str">
        <x:v>Discover forgotten ministry, university, NGO, GIS and survey datasets</x:v>
      </x:c>
      <x:c r="L175" s="14" t="str">
        <x:v>Not a data custodian; source owner/license and update status must be verified.</x:v>
      </x:c>
      <x:c r="M175" s="14" t="str">
        <x:v>Official page/catalog observed</x:v>
      </x:c>
      <x:c r="N175" s="14" t="str">
        <x:v>P3</x:v>
      </x:c>
      <x:c r="O175" s="18" t="str">
        <x:v>Not started</x:v>
      </x:c>
      <x:c r="P175" s="96"/>
    </x:row>
    <x:row r="176" ht="62" customHeight="1">
      <x:c r="A176" s="14" t="str">
        <x:v>PKD-175</x:v>
      </x:c>
      <x:c r="B176" s="14" t="str">
        <x:v>B</x:v>
      </x:c>
      <x:c r="C176" s="14" t="str">
        <x:v>Research discovery / Digital statistics</x:v>
      </x:c>
      <x:c r="D176" s="14" t="str">
        <x:v>DataReportal — Pakistan digital reports</x:v>
      </x:c>
      <x:c r="E176" s="14" t="str">
        <x:v>DataReportal / Kepios and partners</x:v>
      </x:c>
      <x:c r="F176" s="14" t="str">
        <x:v>https://datareportal.com/</x:v>
      </x:c>
      <x:c r="G176" s="14" t="str"/>
      <x:c r="H176" s="14" t="str">
        <x:v>Country reports, downloadable slides/figures and linked data sources</x:v>
      </x:c>
      <x:c r="I176" s="14" t="str">
        <x:v>Periodic reports</x:v>
      </x:c>
      <x:c r="J176" s="14" t="str">
        <x:v>Pakistan national and selected digital audiences/platforms</x:v>
      </x:c>
      <x:c r="K176" s="14" t="str">
        <x:v>Internet, social media, mobile connections and digital behaviour trends</x:v>
      </x:c>
      <x:c r="L176" s="14" t="str">
        <x:v>Methodology can combine sources and platform advertising audiences; avoid equating ad reach with active unique users.</x:v>
      </x:c>
      <x:c r="M176" s="14" t="str">
        <x:v>Official page/catalog observed</x:v>
      </x:c>
      <x:c r="N176" s="14" t="str">
        <x:v>P3</x:v>
      </x:c>
      <x:c r="O176" s="18" t="str">
        <x:v>Not started</x:v>
      </x:c>
      <x:c r="P176" s="96"/>
    </x:row>
    <x:row r="177" ht="62" customHeight="1">
      <x:c r="A177" s="14" t="str">
        <x:v>PKD-176</x:v>
      </x:c>
      <x:c r="B177" s="14" t="str">
        <x:v>B</x:v>
      </x:c>
      <x:c r="C177" s="14" t="str">
        <x:v>Research discovery / Literature</x:v>
      </x:c>
      <x:c r="D177" s="14" t="str">
        <x:v>Google Scholar</x:v>
      </x:c>
      <x:c r="E177" s="14" t="str">
        <x:v>Google</x:v>
      </x:c>
      <x:c r="F177" s="14" t="str">
        <x:v>https://scholar.google.com/</x:v>
      </x:c>
      <x:c r="G177" s="14" t="str"/>
      <x:c r="H177" s="14" t="str">
        <x:v>Search index for articles, theses, books and working papers</x:v>
      </x:c>
      <x:c r="I177" s="14" t="str">
        <x:v>Continuously indexed</x:v>
      </x:c>
      <x:c r="J177" s="14" t="str">
        <x:v>Pakistan-targeted topic queries</x:v>
      </x:c>
      <x:c r="K177" s="14" t="str">
        <x:v>Locate research papers and trace references to primary datasets</x:v>
      </x:c>
      <x:c r="L177" s="14" t="str">
        <x:v>Search ranking is not a quality score; confirm peer review and version of record.</x:v>
      </x:c>
      <x:c r="M177" s="14" t="str">
        <x:v>Official page/catalog observed</x:v>
      </x:c>
      <x:c r="N177" s="14" t="str">
        <x:v>P3</x:v>
      </x:c>
      <x:c r="O177" s="18" t="str">
        <x:v>Not started</x:v>
      </x:c>
      <x:c r="P177" s="96"/>
    </x:row>
    <x:row r="178" ht="62" customHeight="1">
      <x:c r="A178" s="14" t="str">
        <x:v>PKD-177</x:v>
      </x:c>
      <x:c r="B178" s="14" t="str">
        <x:v>B</x:v>
      </x:c>
      <x:c r="C178" s="14" t="str">
        <x:v>Rights / Social conditions</x:v>
      </x:c>
      <x:c r="D178" s="14" t="str">
        <x:v>Human Rights Commission of Pakistan annual and thematic reports</x:v>
      </x:c>
      <x:c r="E178" s="14" t="str">
        <x:v>HRCP</x:v>
      </x:c>
      <x:c r="F178" s="14" t="str">
        <x:v>https://hrcp-web.org/hrcpweb/</x:v>
      </x:c>
      <x:c r="G178" s="14" t="str"/>
      <x:c r="H178" s="14" t="str">
        <x:v>Annual reports, human rights reports and thematic publications</x:v>
      </x:c>
      <x:c r="I178" s="14" t="str">
        <x:v>Annual and issue-based</x:v>
      </x:c>
      <x:c r="J178" s="14" t="str">
        <x:v>National/provincial and issue-specific</x:v>
      </x:c>
      <x:c r="K178" s="14" t="str">
        <x:v>Violence, civil liberties, labour rights, gender, minorities, justice and social conditions</x:v>
      </x:c>
      <x:c r="L178" s="14" t="str">
        <x:v>Counts from monitoring/reporting networks may not be exhaustive administrative totals.</x:v>
      </x:c>
      <x:c r="M178" s="14" t="str">
        <x:v>Official page/catalog observed</x:v>
      </x:c>
      <x:c r="N178" s="14" t="str">
        <x:v>P3</x:v>
      </x:c>
      <x:c r="O178" s="18" t="str">
        <x:v>Not started</x:v>
      </x:c>
      <x:c r="P178" s="96"/>
    </x:row>
    <x:row r="179" ht="62" customHeight="1">
      <x:c r="A179" s="14" t="str">
        <x:v>PKD-178</x:v>
      </x:c>
      <x:c r="B179" s="14" t="str">
        <x:v>B</x:v>
      </x:c>
      <x:c r="C179" s="14" t="str">
        <x:v>Security / Conflict</x:v>
      </x:c>
      <x:c r="D179" s="14" t="str">
        <x:v>Center for Research and Security Studies reports</x:v>
      </x:c>
      <x:c r="E179" s="14" t="str">
        <x:v>CRSS</x:v>
      </x:c>
      <x:c r="F179" s="14" t="str">
        <x:v>https://crss.pk/security-report/</x:v>
      </x:c>
      <x:c r="G179" s="14" t="str"/>
      <x:c r="H179" s="14" t="str">
        <x:v>Periodic security reports, incident statistics and analytical publications</x:v>
      </x:c>
      <x:c r="I179" s="14" t="str">
        <x:v>Monthly/quarterly/annual reports as published</x:v>
      </x:c>
      <x:c r="J179" s="14" t="str">
        <x:v>National, province and districts where coded</x:v>
      </x:c>
      <x:c r="K179" s="14" t="str">
        <x:v>Terrorism, violent incidents, fatalities and changes in security trends</x:v>
      </x:c>
      <x:c r="L179" s="14" t="str">
        <x:v>Methodology and media-monitoring coverage may differ from government and international incident datasets.</x:v>
      </x:c>
      <x:c r="M179" s="14" t="str">
        <x:v>Official page/catalog observed</x:v>
      </x:c>
      <x:c r="N179" s="14" t="str">
        <x:v>P3</x:v>
      </x:c>
      <x:c r="O179" s="18" t="str">
        <x:v>Not started</x:v>
      </x:c>
      <x:c r="P179" s="96"/>
    </x:row>
    <x:row r="180" ht="62" customHeight="1">
      <x:c r="A180" s="14" t="str">
        <x:v>PKD-179</x:v>
      </x:c>
      <x:c r="B180" s="14" t="str">
        <x:v>B</x:v>
      </x:c>
      <x:c r="C180" s="14" t="str">
        <x:v>Security / Conflict</x:v>
      </x:c>
      <x:c r="D180" s="14" t="str">
        <x:v>Pakistan Institute for Conflict and Security Studies (PICSS)</x:v>
      </x:c>
      <x:c r="E180" s="14" t="str">
        <x:v>PICSS</x:v>
      </x:c>
      <x:c r="F180" s="14" t="str">
        <x:v>https://www.picss.net/</x:v>
      </x:c>
      <x:c r="G180" s="14" t="str"/>
      <x:c r="H180" s="14" t="str">
        <x:v>Incident reports, security trend tables and analysis</x:v>
      </x:c>
      <x:c r="I180" s="14" t="str">
        <x:v>Periodic</x:v>
      </x:c>
      <x:c r="J180" s="14" t="str">
        <x:v>Pakistan; district/province detail where available</x:v>
      </x:c>
      <x:c r="K180" s="14" t="str">
        <x:v>Conflict event trends, militant activity and security-related outcomes</x:v>
      </x:c>
      <x:c r="L180" s="14" t="str">
        <x:v>Secondary monitoring dataset; validate any high-impact claim with multiple sources.</x:v>
      </x:c>
      <x:c r="M180" s="14" t="str">
        <x:v>Official page/catalog observed</x:v>
      </x:c>
      <x:c r="N180" s="14" t="str">
        <x:v>P3</x:v>
      </x:c>
      <x:c r="O180" s="18" t="str">
        <x:v>Not started</x:v>
      </x:c>
      <x:c r="P180" s="96"/>
    </x:row>
    <x:row r="181" ht="62" customHeight="1">
      <x:c r="A181" s="14" t="str">
        <x:v>PKD-180</x:v>
      </x:c>
      <x:c r="B181" s="14" t="str">
        <x:v>B</x:v>
      </x:c>
      <x:c r="C181" s="14" t="str">
        <x:v>Security / Conflict</x:v>
      </x:c>
      <x:c r="D181" s="14" t="str">
        <x:v>Pakistan Institute for Peace Studies (PIPS) security publications</x:v>
      </x:c>
      <x:c r="E181" s="14" t="str">
        <x:v>PIPS</x:v>
      </x:c>
      <x:c r="F181" s="14" t="str">
        <x:v>https://pakpips.com/</x:v>
      </x:c>
      <x:c r="G181" s="14" t="str"/>
      <x:c r="H181" s="14" t="str">
        <x:v>Annual security reports, conflict monitoring, journals and research reports</x:v>
      </x:c>
      <x:c r="I181" s="14" t="str">
        <x:v>Study-specific and historical annual reports</x:v>
      </x:c>
      <x:c r="J181" s="14" t="str">
        <x:v>Pakistan with province/region/incident analysis by report</x:v>
      </x:c>
      <x:c r="K181" s="14" t="str">
        <x:v>Militancy, terrorism, extremism, conflict and peacebuilding</x:v>
      </x:c>
      <x:c r="L181" s="14" t="str">
        <x:v>Counts are publication-specific; reconcile incident inclusion rules across providers.</x:v>
      </x:c>
      <x:c r="M181" s="14" t="str">
        <x:v>Official page/catalog observed</x:v>
      </x:c>
      <x:c r="N181" s="14" t="str">
        <x:v>P3</x:v>
      </x:c>
      <x:c r="O181" s="18" t="str">
        <x:v>Not started</x:v>
      </x:c>
      <x:c r="P181" s="96"/>
    </x:row>
    <x:row r="182" ht="62" customHeight="1">
      <x:c r="A182" s="14" t="str">
        <x:v>PKD-181</x:v>
      </x:c>
      <x:c r="B182" s="14" t="str">
        <x:v>B</x:v>
      </x:c>
      <x:c r="C182" s="14" t="str">
        <x:v>Survey / Market research</x:v>
      </x:c>
      <x:c r="D182" s="14" t="str">
        <x:v>Ipsos Pakistan research</x:v>
      </x:c>
      <x:c r="E182" s="14" t="str">
        <x:v>Ipsos Pakistan</x:v>
      </x:c>
      <x:c r="F182" s="14" t="str">
        <x:v>https://www.ipsos.com/en-pk</x:v>
      </x:c>
      <x:c r="G182" s="14" t="str"/>
      <x:c r="H182" s="14" t="str">
        <x:v>Survey findings, market reports, charts and commissioned research</x:v>
      </x:c>
      <x:c r="I182" s="14" t="str">
        <x:v>Study-specific; some recurring confidence measures</x:v>
      </x:c>
      <x:c r="J182" s="14" t="str">
        <x:v>Pakistan; sample/market scope varies</x:v>
      </x:c>
      <x:c r="K182" s="14" t="str">
        <x:v>Consumer confidence, brand/market trends, public opinion and digital behaviour</x:v>
      </x:c>
      <x:c r="L182" s="14" t="str">
        <x:v>Detailed data may be proprietary or paywalled; check whether results are nationally representative.</x:v>
      </x:c>
      <x:c r="M182" s="14" t="str">
        <x:v>Official page/catalog observed</x:v>
      </x:c>
      <x:c r="N182" s="14" t="str">
        <x:v>P3</x:v>
      </x:c>
      <x:c r="O182" s="18" t="str">
        <x:v>Not started</x:v>
      </x:c>
      <x:c r="P182" s="96"/>
    </x:row>
    <x:row r="183" ht="62" customHeight="1">
      <x:c r="A183" s="14" t="str">
        <x:v>PKD-182</x:v>
      </x:c>
      <x:c r="B183" s="14" t="str">
        <x:v>B</x:v>
      </x:c>
      <x:c r="C183" s="14" t="str">
        <x:v>Survey / Public opinion</x:v>
      </x:c>
      <x:c r="D183" s="14" t="str">
        <x:v>Gallup Pakistan poll and survey archive</x:v>
      </x:c>
      <x:c r="E183" s="14" t="str">
        <x:v>Gallup Pakistan</x:v>
      </x:c>
      <x:c r="F183" s="14" t="str">
        <x:v>https://gallup.com.pk/</x:v>
      </x:c>
      <x:c r="G183" s="14" t="str"/>
      <x:c r="H183" s="14" t="str">
        <x:v>Poll findings, charts, survey reports and selected downloadable material</x:v>
      </x:c>
      <x:c r="I183" s="14" t="str">
        <x:v>Poll-specific dates/waves</x:v>
      </x:c>
      <x:c r="J183" s="14" t="str">
        <x:v>National or target sample as defined by survey</x:v>
      </x:c>
      <x:c r="K183" s="14" t="str">
        <x:v>Public attitudes, consumer sentiment, politics, social issues and economic perceptions</x:v>
      </x:c>
      <x:c r="L183" s="14" t="str">
        <x:v>Read methodology, sample frame, mode, question wording, weighting and margin of error before interpreting.</x:v>
      </x:c>
      <x:c r="M183" s="14" t="str">
        <x:v>Official page/catalog observed</x:v>
      </x:c>
      <x:c r="N183" s="14" t="str">
        <x:v>P3</x:v>
      </x:c>
      <x:c r="O183" s="18" t="str">
        <x:v>Not started</x:v>
      </x:c>
      <x:c r="P183" s="96"/>
    </x:row>
    <x:row r="184" ht="62" customHeight="1">
      <x:c r="A184" s="14" t="str">
        <x:v>PKD-183</x:v>
      </x:c>
      <x:c r="B184" s="14" t="str">
        <x:v>B</x:v>
      </x:c>
      <x:c r="C184" s="14" t="str">
        <x:v>Sustainability / Climate / Policy</x:v>
      </x:c>
      <x:c r="D184" s="14" t="str">
        <x:v>Sustainable Development Policy Institute (SDPI) research archive</x:v>
      </x:c>
      <x:c r="E184" s="14" t="str">
        <x:v>SDPI</x:v>
      </x:c>
      <x:c r="F184" s="14" t="str">
        <x:v>https://sdpi.org/</x:v>
      </x:c>
      <x:c r="G184" s="14" t="str"/>
      <x:c r="H184" s="14" t="str">
        <x:v>Reports, policy briefs, conference papers and research publications</x:v>
      </x:c>
      <x:c r="I184" s="14" t="str">
        <x:v>Study-specific</x:v>
      </x:c>
      <x:c r="J184" s="14" t="str">
        <x:v>National and sectoral</x:v>
      </x:c>
      <x:c r="K184" s="14" t="str">
        <x:v>Climate, energy, food security, trade, governance, poverty and social development</x:v>
      </x:c>
      <x:c r="L184" s="14" t="str">
        <x:v>Source data and peer-review status vary by document.</x:v>
      </x:c>
      <x:c r="M184" s="14" t="str">
        <x:v>Official page/catalog observed</x:v>
      </x:c>
      <x:c r="N184" s="14" t="str">
        <x:v>P3</x:v>
      </x:c>
      <x:c r="O184" s="18" t="str">
        <x:v>Not started</x:v>
      </x:c>
      <x:c r="P184" s="96"/>
    </x:row>
    <x:row r="185" ht="62" customHeight="1">
      <x:c r="A185" s="14" t="str">
        <x:v>PKD-184</x:v>
      </x:c>
      <x:c r="B185" s="14" t="str">
        <x:v>C</x:v>
      </x:c>
      <x:c r="C185" s="14" t="str">
        <x:v>Media / Economy and policy</x:v>
      </x:c>
      <x:c r="D185" s="14" t="str">
        <x:v>Dawn — economy, policy and data reporting</x:v>
      </x:c>
      <x:c r="E185" s="14" t="str">
        <x:v>Dawn</x:v>
      </x:c>
      <x:c r="F185" s="14" t="str">
        <x:v>https://www.dawn.com/</x:v>
      </x:c>
      <x:c r="G185" s="14" t="str"/>
      <x:c r="H185" s="14" t="str">
        <x:v>Articles, graphics and linked official reports</x:v>
      </x:c>
      <x:c r="I185" s="14" t="str">
        <x:v>Ongoing news archive</x:v>
      </x:c>
      <x:c r="J185" s="14" t="str">
        <x:v>Pakistan national and local reporting</x:v>
      </x:c>
      <x:c r="K185" s="14" t="str">
        <x:v>Discover policy changes, controversies, official data releases and explanatory reporting</x:v>
      </x:c>
      <x:c r="L185" s="14" t="str">
        <x:v>Use for discovery/context; source important numerical claims to official data/reports.</x:v>
      </x:c>
      <x:c r="M185" s="14" t="str">
        <x:v>Official page/catalog observed</x:v>
      </x:c>
      <x:c r="N185" s="14" t="str">
        <x:v>P3</x:v>
      </x:c>
      <x:c r="O185" s="18" t="str">
        <x:v>Not started</x:v>
      </x:c>
      <x:c r="P185" s="96"/>
    </x:row>
    <x:row r="186" ht="62" customHeight="1">
      <x:c r="A186" s="14" t="str">
        <x:v>PKD-185</x:v>
      </x:c>
      <x:c r="B186" s="14" t="str">
        <x:v>C</x:v>
      </x:c>
      <x:c r="C186" s="14" t="str">
        <x:v>Media / Financial / Corporate</x:v>
      </x:c>
      <x:c r="D186" s="14" t="str">
        <x:v>Reuters — Pakistan economy and business reporting</x:v>
      </x:c>
      <x:c r="E186" s="14" t="str">
        <x:v>Reuters</x:v>
      </x:c>
      <x:c r="F186" s="14" t="str">
        <x:v>https://www.reuters.com/world/asia-pacific/</x:v>
      </x:c>
      <x:c r="G186" s="14" t="str"/>
      <x:c r="H186" s="14" t="str">
        <x:v>News articles and market reporting</x:v>
      </x:c>
      <x:c r="I186" s="14" t="str">
        <x:v>Ongoing</x:v>
      </x:c>
      <x:c r="J186" s="14" t="str">
        <x:v>Pakistan and global economy</x:v>
      </x:c>
      <x:c r="K186" s="14" t="str">
        <x:v>Discover major debt, IMF, investment, commodity and business events</x:v>
      </x:c>
      <x:c r="L186" s="14" t="str">
        <x:v>Secondary reporting; valuable independent context but verify data at source for quantitative analysis.</x:v>
      </x:c>
      <x:c r="M186" s="14" t="str">
        <x:v>Official page/catalog observed</x:v>
      </x:c>
      <x:c r="N186" s="14" t="str">
        <x:v>P3</x:v>
      </x:c>
      <x:c r="O186" s="18" t="str">
        <x:v>Not started</x:v>
      </x:c>
      <x:c r="P186" s="96"/>
    </x:row>
    <x:row r="187" ht="62" customHeight="1">
      <x:c r="A187" s="14" t="str">
        <x:v>PKD-186</x:v>
      </x:c>
      <x:c r="B187" s="14" t="str">
        <x:v>C</x:v>
      </x:c>
      <x:c r="C187" s="14" t="str">
        <x:v>Media / Financial markets</x:v>
      </x:c>
      <x:c r="D187" s="14" t="str">
        <x:v>Business Recorder — markets, fiscal and economy</x:v>
      </x:c>
      <x:c r="E187" s="14" t="str">
        <x:v>Business Recorder</x:v>
      </x:c>
      <x:c r="F187" s="14" t="str">
        <x:v>https://www.brecorder.com/</x:v>
      </x:c>
      <x:c r="G187" s="14" t="str"/>
      <x:c r="H187" s="14" t="str">
        <x:v>News, market tables, analysis and reports</x:v>
      </x:c>
      <x:c r="I187" s="14" t="str">
        <x:v>Ongoing; daily/weekly coverage</x:v>
      </x:c>
      <x:c r="J187" s="14" t="str">
        <x:v>Pakistan and international markets</x:v>
      </x:c>
      <x:c r="K187" s="14" t="str">
        <x:v>Find policy announcements, commodity prices, company news and economic context</x:v>
      </x:c>
      <x:c r="L187" s="14" t="str">
        <x:v>Not a primary national statistics collector; validate reported values against PBS/SBP/FBR.</x:v>
      </x:c>
      <x:c r="M187" s="14" t="str">
        <x:v>Official page/catalog observed</x:v>
      </x:c>
      <x:c r="N187" s="14" t="str">
        <x:v>P3</x:v>
      </x:c>
      <x:c r="O187" s="18" t="str">
        <x:v>Not started</x:v>
      </x:c>
      <x:c r="P187" s="96"/>
    </x:row>
    <x:row r="188" ht="62" customHeight="1">
      <x:c r="A188" s="14" t="str">
        <x:v>PKD-187</x:v>
      </x:c>
      <x:c r="B188" s="14" t="str">
        <x:v>C</x:v>
      </x:c>
      <x:c r="C188" s="14" t="str">
        <x:v>Media / Market analysis</x:v>
      </x:c>
      <x:c r="D188" s="14" t="str">
        <x:v>Bloomberg economics and Pakistan market coverage</x:v>
      </x:c>
      <x:c r="E188" s="14" t="str">
        <x:v>Bloomberg</x:v>
      </x:c>
      <x:c r="F188" s="14" t="str">
        <x:v>https://www.bloomberg.com/</x:v>
      </x:c>
      <x:c r="G188" s="14" t="str"/>
      <x:c r="H188" s="14" t="str">
        <x:v>News, charts and financial market data, some paid</x:v>
      </x:c>
      <x:c r="I188" s="14" t="str">
        <x:v>Ongoing</x:v>
      </x:c>
      <x:c r="J188" s="14" t="str">
        <x:v>Pakistan and global financial markets</x:v>
      </x:c>
      <x:c r="K188" s="14" t="str">
        <x:v>Market-oriented evidence, bond/FX/investment context and business developments</x:v>
      </x:c>
      <x:c r="L188" s="14" t="str">
        <x:v>Paywalls and proprietary market series may limit reuse; do not treat as raw public microdata.</x:v>
      </x:c>
      <x:c r="M188" s="14" t="str">
        <x:v>Official page/catalog observed</x:v>
      </x:c>
      <x:c r="N188" s="14" t="str">
        <x:v>P3</x:v>
      </x:c>
      <x:c r="O188" s="18" t="str">
        <x:v>Not started</x:v>
      </x:c>
      <x:c r="P188" s="96"/>
    </x:row>
  </x:sheetData>
  <x:conditionalFormatting sqref="B2:B188">
    <x:cfRule type="expression" dxfId="0" priority="1">
      <x:formula>B2="A1"</x:formula>
    </x:cfRule>
    <x:cfRule type="expression" dxfId="1" priority="2">
      <x:formula>B2="A2"</x:formula>
    </x:cfRule>
    <x:cfRule type="expression" dxfId="2" priority="3">
      <x:formula>B2="B"</x:formula>
    </x:cfRule>
    <x:cfRule type="expression" dxfId="3" priority="4">
      <x:formula>B2="C"</x:formula>
    </x:cfRule>
  </x:conditionalFormatting>
  <x:conditionalFormatting sqref="N2:N188">
    <x:cfRule type="expression" dxfId="4" priority="5">
      <x:formula>N2="P1"</x:formula>
    </x:cfRule>
  </x:conditionalFormatting>
  <x:dataValidations count="1">
    <x:dataValidation type="list" sqref="O2:O188">
      <x:formula1>"Not started,Located,Downloaded,Validated,Used,Restricted / Contact"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4a426a3c704535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8" hidden="0" customWidth="1"/>
    <x:col min="3" max="3" width="10" hidden="0" customWidth="1"/>
    <x:col min="4" max="4" width="42" hidden="0" customWidth="1"/>
    <x:col min="5" max="5" width="25" hidden="0" customWidth="1"/>
    <x:col min="6" max="6" width="38" hidden="0" customWidth="1"/>
    <x:col min="7" max="7" width="52" hidden="0" customWidth="1"/>
    <x:col min="8" max="8" width="46" hidden="0" customWidth="1"/>
    <x:col min="9" max="9" width="26" hidden="0" customWidth="1"/>
    <x:col min="10" max="10" width="48" hidden="0" customWidth="1"/>
    <x:col min="11" max="11" width="20" hidden="0" customWidth="1"/>
    <x:col min="12" max="12" width="13" hidden="0" customWidth="1"/>
  </x:cols>
  <x:sheetData>
    <x:row r="1" ht="34" customHeight="1">
      <x:c r="A1" s="79" t="str">
        <x:v>Queue ID</x:v>
      </x:c>
      <x:c r="B1" s="79" t="str">
        <x:v>Grade</x:v>
      </x:c>
      <x:c r="C1" s="79" t="str">
        <x:v>Priority</x:v>
      </x:c>
      <x:c r="D1" s="79" t="str">
        <x:v>Resource / file family</x:v>
      </x:c>
      <x:c r="E1" s="79" t="str">
        <x:v>Topic</x:v>
      </x:c>
      <x:c r="F1" s="79" t="str">
        <x:v>Landing / access page</x:v>
      </x:c>
      <x:c r="G1" s="79" t="str">
        <x:v>Direct file URL(s) / route</x:v>
      </x:c>
      <x:c r="H1" s="79" t="str">
        <x:v>Formats / what to obtain</x:v>
      </x:c>
      <x:c r="I1" s="79" t="str">
        <x:v>Coverage</x:v>
      </x:c>
      <x:c r="J1" s="79" t="str">
        <x:v>Access caution</x:v>
      </x:c>
      <x:c r="K1" s="79" t="str">
        <x:v>Acquisition status</x:v>
      </x:c>
      <x:c r="L1" s="100"/>
    </x:row>
    <x:row r="2" ht="70" customHeight="1">
      <x:c r="A2" s="14" t="str">
        <x:v>Q-01</x:v>
      </x:c>
      <x:c r="B2" s="14" t="str">
        <x:v>A1</x:v>
      </x:c>
      <x:c r="C2" s="14" t="str">
        <x:v>P1</x:v>
      </x:c>
      <x:c r="D2" s="14" t="str">
        <x:v>HIES 2024–25: microdata, questionnaires, manuals and reports</x:v>
      </x:c>
      <x:c r="E2" s="14" t="str">
        <x:v>Households / Poverty</x:v>
      </x:c>
      <x:c r="F2" s="14" t="str">
        <x:v>https://www.pbs.gov.pk/hies/</x:v>
      </x:c>
      <x:c r="G2" s="14" t="str">
        <x:v>SPSS ZIP: https://www.pbs.gov.pk/wp-content/uploads/2020/07/SPSS-data-2.zip
Stata ZIP: https://www.pbs.gov.pk/wp-content/uploads/2020/07/Stata-data-1.zip
Full report PDF: https://www.pbs.gov.pk/wp-content/uploads/2020/07/HIES-2024-25-Report-Final-2.pdf
Social indicators PDF: https://www.pbs.gov.pk/wp-content/uploads/2020/07/HIES_Report_2024-25-Social-indicators-Reportupdated.pdf</x:v>
      </x:c>
      <x:c r="H2" s="14" t="str">
        <x:v>SPSS and Stata compressed files; PDF reports; questionnaires; codebooks; manuals</x:v>
      </x:c>
      <x:c r="I2" s="14" t="str">
        <x:v>2024–25; current round collected Sep 2024–Jun 2025; 32,814 households</x:v>
      </x:c>
      <x:c r="J2" s="14" t="str">
        <x:v>Use survey weights and codebook. PBS noted a corrected/re-uploaded Section 6 on 16 Jan 2026; confirm you have the corrected file. Direct links surfaced by the current PBS catalogue; confirm files, questionnaires and codebooks match the selected survey wave before analysis.</x:v>
      </x:c>
      <x:c r="K2" s="18" t="str">
        <x:v>Not started</x:v>
      </x:c>
      <x:c r="L2" s="96"/>
    </x:row>
    <x:row r="3" ht="70" customHeight="1">
      <x:c r="A3" s="14" t="str">
        <x:v>Q-02</x:v>
      </x:c>
      <x:c r="B3" s="14" t="str">
        <x:v>A1</x:v>
      </x:c>
      <x:c r="C3" s="14" t="str">
        <x:v>P1</x:v>
      </x:c>
      <x:c r="D3" s="14" t="str">
        <x:v>Labour Force Survey 2024–25 microdata, report and documentation</x:v>
      </x:c>
      <x:c r="E3" s="14" t="str">
        <x:v>Labour / Jobs</x:v>
      </x:c>
      <x:c r="F3" s="14" t="str">
        <x:v>https://www.pbs.gov.pk/labour-force-statistics/</x:v>
      </x:c>
      <x:c r="G3" s="14" t="str">
        <x:v>Stata ZIP: https://www.pbs.gov.pk/wp-content/uploads/2020/07/LFS-2024-25-STATA.zip
SPSS ZIP: https://www.pbs.gov.pk/wp-content/uploads/2020/07/LFS-2024-25-SPSS.zip
Report, questionnaire, codebook and classifications: https://www.pbs.gov.pk/labour-force-publications/</x:v>
      </x:c>
      <x:c r="H3" s="14" t="str">
        <x:v>SPSS/Stata RAR files, annual report, questionnaire, codebooks, occupation/industry classifications and enumerator manual</x:v>
      </x:c>
      <x:c r="I3" s="14" t="str">
        <x:v>2024–25; historical LFS files listed back to 2005–06</x:v>
      </x:c>
      <x:c r="J3" s="14" t="str">
        <x:v>Use weights, survey strata/PSUs and the matching coding scheme; labour definitions can differ by survey year. Includes annual report, coding scheme, enumerator manual, technical/vocational course codes, occupation and industry classifications.</x:v>
      </x:c>
      <x:c r="K3" s="18" t="str">
        <x:v>Not started</x:v>
      </x:c>
      <x:c r="L3" s="96"/>
    </x:row>
    <x:row r="4" ht="70" customHeight="1">
      <x:c r="A4" s="14" t="str">
        <x:v>Q-03</x:v>
      </x:c>
      <x:c r="B4" s="14" t="str">
        <x:v>A1</x:v>
      </x:c>
      <x:c r="C4" s="14" t="str">
        <x:v>P1</x:v>
      </x:c>
      <x:c r="D4" s="14" t="str">
        <x:v>Population &amp; Housing Census 2023 detailed tables</x:v>
      </x:c>
      <x:c r="E4" s="14" t="str">
        <x:v>Population / Census</x:v>
      </x:c>
      <x:c r="F4" s="14" t="str">
        <x:v>https://www.pbs.gov.pk/census/</x:v>
      </x:c>
      <x:c r="G4" s="14" t="str">
        <x:v>Excel table library: https://www.pbs.gov.pk/result-excel/
Census portal: https://census23.pbos.gov.pk/
GIS/admin tables: https://www.pbs.gov.pk/gis/</x:v>
      </x:c>
      <x:c r="H4" s="14" t="str">
        <x:v>Excel tables, PDF reports, gazette notifications, enumerator questionnaires and technical documentation</x:v>
      </x:c>
      <x:c r="I4" s="14" t="str">
        <x:v>2023; 7th Population &amp; Housing Census</x:v>
      </x:c>
      <x:c r="J4" s="14" t="str">
        <x:v>Compare administrative boundaries carefully across census years; note census revisions, coverage and enumeration definitions. Select the right geographic level and table definition; province/district figures and locality-level tables are not always directly comparable.</x:v>
      </x:c>
      <x:c r="K4" s="18" t="str">
        <x:v>Not started</x:v>
      </x:c>
      <x:c r="L4" s="96"/>
    </x:row>
    <x:row r="5" ht="70" customHeight="1">
      <x:c r="A5" s="14" t="str">
        <x:v>Q-04</x:v>
      </x:c>
      <x:c r="B5" s="14" t="str">
        <x:v>A1</x:v>
      </x:c>
      <x:c r="C5" s="14" t="str">
        <x:v>P1</x:v>
      </x:c>
      <x:c r="D5" s="14" t="str">
        <x:v>Agricultural Census 2024 report and national Excel tables</x:v>
      </x:c>
      <x:c r="E5" s="14" t="str">
        <x:v>Agriculture / Land</x:v>
      </x:c>
      <x:c r="F5" s="14" t="str">
        <x:v>https://www.pbs.gov.pk/agriculture-census/</x:v>
      </x:c>
      <x:c r="G5" s="14" t="str">
        <x:v>Country report PDF: https://www.pbs.gov.pk/wp-content/uploads/2020/07/IAC-Country-Report-02-06-2026-2.pdf
Official table index: https://www.pbs.gov.pk/agriculture-census/</x:v>
      </x:c>
      <x:c r="H5" s="14" t="str">
        <x:v>Country report PDF, national Excel tables, historic table directory</x:v>
      </x:c>
      <x:c r="I5" s="14" t="str">
        <x:v>2024; historic agricultural census tables also listed</x:v>
      </x:c>
      <x:c r="J5" s="14" t="str">
        <x:v>Distinguish full-count census variables from parameters collected on sample basis; use table notes. The report and tables have different levels of geographic detail; examine table-specific notes about full enumeration versus sample estimates.</x:v>
      </x:c>
      <x:c r="K5" s="18" t="str">
        <x:v>Not started</x:v>
      </x:c>
      <x:c r="L5" s="96"/>
    </x:row>
    <x:row r="6" ht="70" customHeight="1">
      <x:c r="A6" s="14" t="str">
        <x:v>Q-05</x:v>
      </x:c>
      <x:c r="B6" s="14" t="str">
        <x:v>A1</x:v>
      </x:c>
      <x:c r="C6" s="14" t="str">
        <x:v>P1</x:v>
      </x:c>
      <x:c r="D6" s="14" t="str">
        <x:v>Economic Census 2023: establishments and workforce tables</x:v>
      </x:c>
      <x:c r="E6" s="14" t="str">
        <x:v>Business / Firms / Jobs</x:v>
      </x:c>
      <x:c r="F6" s="14" t="str">
        <x:v>https://www.pbs.gov.pk/pakistan-bureau-of-statistics-economic-statistics-production/</x:v>
      </x:c>
      <x:c r="G6" s="14" t="str">
        <x:v>Official results/table landing page: https://www.pbs.gov.pk/pakistan-bureau-of-statistics-economic-statistics-production/</x:v>
      </x:c>
      <x:c r="H6" s="14" t="str">
        <x:v>Excel and PDF tables; key findings report</x:v>
      </x:c>
      <x:c r="I6" s="14" t="str">
        <x:v>2023</x:v>
      </x:c>
      <x:c r="J6" s="14" t="str">
        <x:v>Counts of establishments are not the same as firm output, turnover, productivity or current job vacancies. The page links to province/district and industry/employment-category tables; use current census definitions for establishment and employment counts.</x:v>
      </x:c>
      <x:c r="K6" s="18" t="str">
        <x:v>Not started</x:v>
      </x:c>
      <x:c r="L6" s="96"/>
    </x:row>
    <x:row r="7" ht="70" customHeight="1">
      <x:c r="A7" s="14" t="str">
        <x:v>Q-06</x:v>
      </x:c>
      <x:c r="B7" s="14" t="str">
        <x:v>A1</x:v>
      </x:c>
      <x:c r="C7" s="14" t="str">
        <x:v>P1</x:v>
      </x:c>
      <x:c r="D7" s="14" t="str">
        <x:v>PBS annual and quarterly national accounts tables</x:v>
      </x:c>
      <x:c r="E7" s="14" t="str">
        <x:v>National accounts / GDP</x:v>
      </x:c>
      <x:c r="F7" s="14" t="str">
        <x:v>https://www.pbs.gov.pk/national-accounts-2/</x:v>
      </x:c>
      <x:c r="G7" s="14" t="str">
        <x:v>Official National Accounts tables: https://www.pbs.gov.pk/national-accounts-2/</x:v>
      </x:c>
      <x:c r="H7" s="14" t="str">
        <x:v>Excel tables, quarterly releases, annual series, visualization and press releases</x:v>
      </x:c>
      <x:c r="I7" s="14" t="str">
        <x:v>Annual and quarterly GDP; series revised as national accounts estimates are updated</x:v>
      </x:c>
      <x:c r="J7" s="14" t="str">
        <x:v>Use the most recent revised series consistently; historic estimates can be revised and rebased. Use the latest revised release and retain vintage/revision date when building time series.</x:v>
      </x:c>
      <x:c r="K7" s="18" t="str">
        <x:v>Not started</x:v>
      </x:c>
      <x:c r="L7" s="96"/>
    </x:row>
    <x:row r="8" ht="70" customHeight="1">
      <x:c r="A8" s="14" t="str">
        <x:v>Q-07</x:v>
      </x:c>
      <x:c r="B8" s="14" t="str">
        <x:v>A1</x:v>
      </x:c>
      <x:c r="C8" s="14" t="str">
        <x:v>P1</x:v>
      </x:c>
      <x:c r="D8" s="14" t="str">
        <x:v>PBS monthly Consumer Price Index (CPI) releases and annexures</x:v>
      </x:c>
      <x:c r="E8" s="14" t="str">
        <x:v>Prices / Inflation</x:v>
      </x:c>
      <x:c r="F8" s="14" t="str">
        <x:v>https://www.pbs.gov.pk/price-statistics/</x:v>
      </x:c>
      <x:c r="G8" s="14" t="str">
        <x:v>CPI releases, annexures and tables: https://www.pbs.gov.pk/price-statistics/</x:v>
      </x:c>
      <x:c r="H8" s="14" t="str">
        <x:v>Monthly PDF release, Excel annexures, interactive trend chart and methodology</x:v>
      </x:c>
      <x:c r="I8" s="14" t="str">
        <x:v>Monthly; current and historical series on portal</x:v>
      </x:c>
      <x:c r="J8" s="14" t="str">
        <x:v>Index changes and inflation rates are not the same as price levels; note CPI base year and basket changes. Monthly CPI reports include urban/rural and category detail; downloadable annexure format varies by release.</x:v>
      </x:c>
      <x:c r="K8" s="18" t="str">
        <x:v>Not started</x:v>
      </x:c>
      <x:c r="L8" s="96"/>
    </x:row>
    <x:row r="9" ht="70" customHeight="1">
      <x:c r="A9" s="14" t="str">
        <x:v>Q-08</x:v>
      </x:c>
      <x:c r="B9" s="14" t="str">
        <x:v>A1</x:v>
      </x:c>
      <x:c r="C9" s="14" t="str">
        <x:v>P1</x:v>
      </x:c>
      <x:c r="D9" s="14" t="str">
        <x:v>PBS weekly Sensitive Price Indicator (SPI)</x:v>
      </x:c>
      <x:c r="E9" s="14" t="str">
        <x:v>Prices / Inflation</x:v>
      </x:c>
      <x:c r="F9" s="14" t="str">
        <x:v>https://www.pbs.gov.pk/price-statistics/</x:v>
      </x:c>
      <x:c r="G9" s="14" t="str">
        <x:v>Weekly SPI releases and tables: https://www.pbs.gov.pk/price-statistics/</x:v>
      </x:c>
      <x:c r="H9" s="14" t="str">
        <x:v>Weekly PDF bulletins and tables</x:v>
      </x:c>
      <x:c r="I9" s="14" t="str">
        <x:v>Weekly; latest bulletins linked from price-statistics page</x:v>
      </x:c>
      <x:c r="J9" s="14" t="str">
        <x:v>SPI covers a selected basket and is not a complete household cost-of-living measure; avoid comparing unlike baskets. Weekly item basket and market coverage; SPI is not interchangeable with CPI.</x:v>
      </x:c>
      <x:c r="K9" s="18" t="str">
        <x:v>Not started</x:v>
      </x:c>
      <x:c r="L9" s="96"/>
    </x:row>
    <x:row r="10" ht="70" customHeight="1">
      <x:c r="A10" s="14" t="str">
        <x:v>Q-09</x:v>
      </x:c>
      <x:c r="B10" s="14" t="str">
        <x:v>A1</x:v>
      </x:c>
      <x:c r="C10" s="14" t="str">
        <x:v>P1</x:v>
      </x:c>
      <x:c r="D10" s="14" t="str">
        <x:v>PBS Wholesale Price Index (WPI)</x:v>
      </x:c>
      <x:c r="E10" s="14" t="str">
        <x:v>Prices / Inflation</x:v>
      </x:c>
      <x:c r="F10" s="14" t="str">
        <x:v>https://www.pbs.gov.pk/price-statistics/</x:v>
      </x:c>
      <x:c r="G10" s="14" t="str">
        <x:v>WPI releases and tables: https://www.pbs.gov.pk/price-statistics/</x:v>
      </x:c>
      <x:c r="H10" s="14" t="str">
        <x:v>Monthly release, charts and tables</x:v>
      </x:c>
      <x:c r="I10" s="14" t="str">
        <x:v>Monthly; index base and available historical series noted on portal</x:v>
      </x:c>
      <x:c r="J10" s="14" t="str">
        <x:v>Coverage and item basket differ from CPI; WPI cannot be read as consumer inflation. Use the definition and basket/version accompanying each release; WPI measures wholesale prices rather than household living costs.</x:v>
      </x:c>
      <x:c r="K10" s="18" t="str">
        <x:v>Not started</x:v>
      </x:c>
      <x:c r="L10" s="96"/>
    </x:row>
    <x:row r="11" ht="70" customHeight="1">
      <x:c r="A11" s="14" t="str">
        <x:v>Q-10</x:v>
      </x:c>
      <x:c r="B11" s="14" t="str">
        <x:v>A1</x:v>
      </x:c>
      <x:c r="C11" s="14" t="str">
        <x:v>P1</x:v>
      </x:c>
      <x:c r="D11" s="14" t="str">
        <x:v>PBS external trade statistics and monthly commodity files</x:v>
      </x:c>
      <x:c r="E11" s="14" t="str">
        <x:v>Trade / Industry</x:v>
      </x:c>
      <x:c r="F11" s="14" t="str">
        <x:v>https://www.pbs.gov.pk/external-trade-statistics/</x:v>
      </x:c>
      <x:c r="G11" s="14" t="str">
        <x:v>Monthly import/export XLSX and archive: https://www.pbs.gov.pk/external-trade-statistics/</x:v>
      </x:c>
      <x:c r="H11" s="14" t="str">
        <x:v>Excel monthly exports/imports/revised summary files; PDF analytical reports; interactive trends</x:v>
      </x:c>
      <x:c r="I11" s="14" t="str">
        <x:v>Monthly, quarterly and annual; historical trend shown from FY2006–07 through FY2024–25; releases continue</x:v>
      </x:c>
      <x:c r="J11" s="14" t="str">
        <x:v>Check customs valuation, revisions, units, HS revisions and whether goods or services are represented. Includes commodity and partner details; trade values can be revised and may differ by customs/service-trade definition.</x:v>
      </x:c>
      <x:c r="K11" s="18" t="str">
        <x:v>Not started</x:v>
      </x:c>
      <x:c r="L11" s="96"/>
    </x:row>
    <x:row r="12" ht="70" customHeight="1">
      <x:c r="A12" s="14" t="str">
        <x:v>Q-11</x:v>
      </x:c>
      <x:c r="B12" s="14" t="str">
        <x:v>A1</x:v>
      </x:c>
      <x:c r="C12" s="14" t="str">
        <x:v>P1</x:v>
      </x:c>
      <x:c r="D12" s="14" t="str">
        <x:v>Pakistan Economic Survey 2025–26 full report and sector chapters</x:v>
      </x:c>
      <x:c r="E12" s="14" t="str">
        <x:v>Macroeconomics / Annual report</x:v>
      </x:c>
      <x:c r="F12" s="14" t="str">
        <x:v>https://www.finance.gov.pk/survey_2026.html</x:v>
      </x:c>
      <x:c r="G12" s="14" t="str">
        <x:v>https://finance.gov.pk/survey/chapter_26/Complete_PES2025_26.pdf</x:v>
      </x:c>
      <x:c r="H12" s="14" t="str">
        <x:v>Full PDF, chapter PDFs, statistical appendix and highlighted indicators</x:v>
      </x:c>
      <x:c r="I12" s="14" t="str">
        <x:v>FY2025–26 (some statistics through a stated cut-off within FY2026)</x:v>
      </x:c>
      <x:c r="J12" s="14" t="str">
        <x:v>Each chapter often cites a different producer and cut-off; trace figures to the source agency and note fiscal-year reference.</x:v>
      </x:c>
      <x:c r="K12" s="18" t="str">
        <x:v>Not started</x:v>
      </x:c>
      <x:c r="L12" s="96"/>
    </x:row>
    <x:row r="13" ht="70" customHeight="1">
      <x:c r="A13" s="14" t="str">
        <x:v>Q-12</x:v>
      </x:c>
      <x:c r="B13" s="14" t="str">
        <x:v>A1</x:v>
      </x:c>
      <x:c r="C13" s="14" t="str">
        <x:v>P1</x:v>
      </x:c>
      <x:c r="D13" s="14" t="str">
        <x:v>Pakistan Economy Dashboard</x:v>
      </x:c>
      <x:c r="E13" s="14" t="str">
        <x:v>Macroeconomics / Interactive dashboard</x:v>
      </x:c>
      <x:c r="F13" s="14" t="str">
        <x:v>https://economy.finance.gov.pk/</x:v>
      </x:c>
      <x:c r="G13" s="14" t="str">
        <x:v>Interactive dashboard: https://economy.finance.gov.pk/</x:v>
      </x:c>
      <x:c r="H13" s="14" t="str">
        <x:v>Interactive sector dashboards; chart export as CSV/SVG/PNG where offered</x:v>
      </x:c>
      <x:c r="I13" s="14" t="str">
        <x:v>Current and historical economic indicators by dashboard</x:v>
      </x:c>
      <x:c r="J13" s="14" t="str">
        <x:v>A convenient presentation layer. Preserve the underlying series name and source rather than citing a screenshot alone. Exports are available for supported indicators/charts; check individual dashboard source notes and reference periods.</x:v>
      </x:c>
      <x:c r="K13" s="18" t="str">
        <x:v>Not started</x:v>
      </x:c>
      <x:c r="L13" s="96"/>
    </x:row>
    <x:row r="14" ht="70" customHeight="1">
      <x:c r="A14" s="14" t="str">
        <x:v>Q-13</x:v>
      </x:c>
      <x:c r="B14" s="14" t="str">
        <x:v>A1</x:v>
      </x:c>
      <x:c r="C14" s="14" t="str">
        <x:v>P1</x:v>
      </x:c>
      <x:c r="D14" s="14" t="str">
        <x:v>SBP EasyData economic time-series portal</x:v>
      </x:c>
      <x:c r="E14" s="14" t="str">
        <x:v>Official finance / Monetary</x:v>
      </x:c>
      <x:c r="F14" s="14" t="str">
        <x:v>https://easydata.sbp.org.pk/</x:v>
      </x:c>
      <x:c r="G14" s="14" t="str">
        <x:v>Portal: https://easydata.sbp.org.pk/
Series browser/catalog: https://easydata.sbp.org.pk/apex/f?p=10:210</x:v>
      </x:c>
      <x:c r="H14" s="14" t="str">
        <x:v>Interactive time series, dashboards, Excel/PDF downloads; API for some signed-in features</x:v>
      </x:c>
      <x:c r="I14" s="14" t="str">
        <x:v>Thousands of series; high-frequency series range from daily/weekly to annual</x:v>
      </x:c>
      <x:c r="J14" s="14" t="str">
        <x:v>SBP described 24,487 time-series and 3.11 million data points; API/My Data Basket may need sign-in. Portal supports series exploration and downloads; some baskets/API features may require sign-in.</x:v>
      </x:c>
      <x:c r="K14" s="18" t="str">
        <x:v>Not started</x:v>
      </x:c>
      <x:c r="L14" s="96"/>
    </x:row>
    <x:row r="15" ht="70" customHeight="1">
      <x:c r="A15" s="14" t="str">
        <x:v>Q-14</x:v>
      </x:c>
      <x:c r="B15" s="14" t="str">
        <x:v>A1</x:v>
      </x:c>
      <x:c r="C15" s="14" t="str">
        <x:v>P1</x:v>
      </x:c>
      <x:c r="D15" s="14" t="str">
        <x:v>Pakistan Demographic Survey 2020 microdata</x:v>
      </x:c>
      <x:c r="E15" s="14" t="str">
        <x:v>Population / Vital statistics</x:v>
      </x:c>
      <x:c r="F15" s="14" t="str">
        <x:v>https://www.pbs.gov.pk/pds/</x:v>
      </x:c>
      <x:c r="G15" s="14" t="str">
        <x:v>Microdata/report/questions: https://www.pbs.gov.pk/pds/</x:v>
      </x:c>
      <x:c r="H15" s="14" t="str">
        <x:v>SPSS RAR microdata, codebook, questionnaire, PDF reports and time-series visualizations</x:v>
      </x:c>
      <x:c r="I15" s="14" t="str">
        <x:v>2020; historical PDS reports/tables back to early 2000s</x:v>
      </x:c>
      <x:c r="J15" s="14" t="str">
        <x:v>Vital events estimates have sampling and recall limits; don't assume the survey captures every vital event. Check sampling, coding scheme and release notes; not equivalent to the larger PDHS household survey.</x:v>
      </x:c>
      <x:c r="K15" s="18" t="str">
        <x:v>Not started</x:v>
      </x:c>
      <x:c r="L15" s="96"/>
    </x:row>
    <x:row r="16" ht="70" customHeight="1">
      <x:c r="A16" s="14" t="str">
        <x:v>Q-15</x:v>
      </x:c>
      <x:c r="B16" s="14" t="str">
        <x:v>A1</x:v>
      </x:c>
      <x:c r="C16" s="14" t="str">
        <x:v>P1</x:v>
      </x:c>
      <x:c r="D16" s="14" t="str">
        <x:v>NIPS public microdata catalogue</x:v>
      </x:c>
      <x:c r="E16" s="14" t="str">
        <x:v>Population / Health</x:v>
      </x:c>
      <x:c r="F16" s="14" t="str">
        <x:v>https://www.nips.org.pk/viewpublicdata</x:v>
      </x:c>
      <x:c r="G16" s="14" t="str">
        <x:v>https://www.nips.org.pk/viewpublicdata</x:v>
      </x:c>
      <x:c r="H16" s="14" t="str">
        <x:v>SPSS/Stata files, survey reports and survey-related material</x:v>
      </x:c>
      <x:c r="I16" s="14" t="str">
        <x:v>PDHS 1990–91, 2006–07, 2012–13, 2017–18; Maternal Mortality Survey 2019 among listed items</x:v>
      </x:c>
      <x:c r="J16" s="14" t="str">
        <x:v>Some data may require application or account; use survey weights and the release's anonymization/permission rules.</x:v>
      </x:c>
      <x:c r="K16" s="18" t="str">
        <x:v>Not started</x:v>
      </x:c>
      <x:c r="L16" s="96"/>
    </x:row>
    <x:row r="17" ht="70" customHeight="1">
      <x:c r="A17" s="14" t="str">
        <x:v>Q-16</x:v>
      </x:c>
      <x:c r="B17" s="14" t="str">
        <x:v>A1</x:v>
      </x:c>
      <x:c r="C17" s="14" t="str">
        <x:v>P2</x:v>
      </x:c>
      <x:c r="D17" s="14" t="str">
        <x:v>Punjab Publications and Datasets catalogue</x:v>
      </x:c>
      <x:c r="E17" s="14" t="str">
        <x:v>Provincial / Multi-sector</x:v>
      </x:c>
      <x:c r="F17" s="14" t="str">
        <x:v>https://bos.punjab.gov.pk/dataset</x:v>
      </x:c>
      <x:c r="G17" s="14" t="str">
        <x:v>Dataset catalogue: https://bos.punjab.gov.pk/dataset
MICS survey page: https://bos.punjab.gov.pk/index.php/mics</x:v>
      </x:c>
      <x:c r="H17" s="14" t="str">
        <x:v>PDF/Excel reports and listed surveys</x:v>
      </x:c>
      <x:c r="I17" s="14" t="str">
        <x:v>Punjab Development Statistics 1972–2025; district profiles 2019–20 to 2023–24; agriculture 2019–24; health 2020–24; education 2013–14 to 2022–23; industrial/employment series 2012–25</x:v>
      </x:c>
      <x:c r="J17" s="14" t="str">
        <x:v>The page lists many reports with variable microdata availability; confirm each downloadable attachment and definitions. Lists Punjab Development Statistics, agriculture, education, health, prices, monthly industry/employment, MICS and specialist women/child-labour surveys.</x:v>
      </x:c>
      <x:c r="K17" s="18" t="str">
        <x:v>Not started</x:v>
      </x:c>
      <x:c r="L17" s="96"/>
    </x:row>
    <x:row r="18" ht="70" customHeight="1">
      <x:c r="A18" s="14" t="str">
        <x:v>Q-17</x:v>
      </x:c>
      <x:c r="B18" s="14" t="str">
        <x:v>A1</x:v>
      </x:c>
      <x:c r="C18" s="14" t="str">
        <x:v>P1</x:v>
      </x:c>
      <x:c r="D18" s="14" t="str">
        <x:v>Punjab Multiple Indicator Cluster Survey (MICS) 2024 and older waves</x:v>
      </x:c>
      <x:c r="E18" s="14" t="str">
        <x:v>Child / Gender / Health</x:v>
      </x:c>
      <x:c r="F18" s="14" t="str">
        <x:v>https://bos.punjab.gov.pk/index.php/mics</x:v>
      </x:c>
      <x:c r="G18" s="14" t="str">
        <x:v>https://mics.unicef.org/sites/mics/files/2025-01/Pakistan%202024%20MICS%20%28Punjab%29%20KFR.pdf</x:v>
      </x:c>
      <x:c r="H18" s="14" t="str">
        <x:v>Key findings PDF; survey reports; microdata availability via official catalogue/MICS process</x:v>
      </x:c>
      <x:c r="I18" s="14" t="str">
        <x:v>2024; prior waves 2017–18, 2014, 2011, 2007–08, 2003–04</x:v>
      </x:c>
      <x:c r="J18" s="14" t="str">
        <x:v>The direct file listed is a key-findings report, not raw microdata; look for full report and microdata separately.</x:v>
      </x:c>
      <x:c r="K18" s="18" t="str">
        <x:v>Not started</x:v>
      </x:c>
      <x:c r="L18" s="96"/>
    </x:row>
    <x:row r="19" ht="70" customHeight="1">
      <x:c r="A19" s="14" t="str">
        <x:v>Q-18</x:v>
      </x:c>
      <x:c r="B19" s="14" t="str">
        <x:v>A1</x:v>
      </x:c>
      <x:c r="C19" s="14" t="str">
        <x:v>P2</x:v>
      </x:c>
      <x:c r="D19" s="14" t="str">
        <x:v>Pakistan Education Statistics 2023–24 and archives</x:v>
      </x:c>
      <x:c r="E19" s="14" t="str">
        <x:v>Education / Schools</x:v>
      </x:c>
      <x:c r="F19" s="14" t="str">
        <x:v>https://pie.gov.pk/Publications</x:v>
      </x:c>
      <x:c r="G19" s="14" t="str">
        <x:v>https://pie.gov.pk/Publications</x:v>
      </x:c>
      <x:c r="H19" s="14" t="str">
        <x:v>Annual PDF reports and tables; older annual report archive</x:v>
      </x:c>
      <x:c r="I19" s="14" t="str">
        <x:v>2023–24 latest listed report, plus prior years</x:v>
      </x:c>
      <x:c r="J19" s="14" t="str">
        <x:v>Administrative education statistics may omit unregistered/non-formal providers; check data year and source system.</x:v>
      </x:c>
      <x:c r="K19" s="18" t="str">
        <x:v>Not started</x:v>
      </x:c>
      <x:c r="L19" s="96"/>
    </x:row>
    <x:row r="20" ht="70" customHeight="1">
      <x:c r="A20" s="14" t="str">
        <x:v>Q-19</x:v>
      </x:c>
      <x:c r="B20" s="14" t="str">
        <x:v>A1</x:v>
      </x:c>
      <x:c r="C20" s="14" t="str">
        <x:v>P2</x:v>
      </x:c>
      <x:c r="D20" s="14" t="str">
        <x:v>School and student profiles / Education Management Information System (EMIS)</x:v>
      </x:c>
      <x:c r="E20" s="14" t="str">
        <x:v>Education / School administration</x:v>
      </x:c>
      <x:c r="F20" s="14" t="str">
        <x:v>https://www.emis.gob.pk/website/CensusProfiles.aspx</x:v>
      </x:c>
      <x:c r="G20" s="14" t="str">
        <x:v>https://www.emis.gob.pk/website/CensusProfiles.aspx</x:v>
      </x:c>
      <x:c r="H20" s="14" t="str">
        <x:v>School-census profiles and downloadable tables by school level; forms and proformas</x:v>
      </x:c>
      <x:c r="I20" s="14" t="str">
        <x:v>School Census 2019–20 and profiles 2021–22 listed</x:v>
      </x:c>
      <x:c r="J20" s="14" t="str">
        <x:v>This portal is a particular EMIS source; verify province, year, reporting coverage and whether a profile reflects updated school records.</x:v>
      </x:c>
      <x:c r="K20" s="18" t="str">
        <x:v>Not started</x:v>
      </x:c>
      <x:c r="L20" s="96"/>
    </x:row>
    <x:row r="21" ht="70" customHeight="1">
      <x:c r="A21" s="14" t="str">
        <x:v>Q-20</x:v>
      </x:c>
      <x:c r="B21" s="14" t="str">
        <x:v>A1</x:v>
      </x:c>
      <x:c r="C21" s="14" t="str">
        <x:v>P1</x:v>
      </x:c>
      <x:c r="D21" s="14" t="str">
        <x:v>Pakistan poverty estimation 2024–25</x:v>
      </x:c>
      <x:c r="E21" s="14" t="str">
        <x:v>Poverty / Official estimate</x:v>
      </x:c>
      <x:c r="F21" s="14" t="str">
        <x:v>https://pc.gov.pk/web/sdgreport</x:v>
      </x:c>
      <x:c r="G21" s="14" t="str">
        <x:v>Official report library: https://pc.gov.pk/web/sdgreport
Other publications: https://pc.gov.pk/web/publication</x:v>
      </x:c>
      <x:c r="H21" s="14" t="str">
        <x:v>Official poverty-estimation PDF based on the Cost of Basic Needs approach and HIES 2024–25; associated poverty and inequality reports.</x:v>
      </x:c>
      <x:c r="I21" s="14" t="str">
        <x:v>2024–25 survey year; released in 2026</x:v>
      </x:c>
      <x:c r="J21" s="14" t="str">
        <x:v>The report is a statistical estimate, not public-use household microdata. Retain method and threshold definitions, and avoid mixing with MPI without stating the distinction.</x:v>
      </x:c>
      <x:c r="K21" s="18" t="str">
        <x:v>Not started</x:v>
      </x:c>
      <x:c r="L21" s="96"/>
    </x:row>
    <x:row r="22" ht="70" customHeight="1">
      <x:c r="A22" s="14" t="str">
        <x:v>Q-21</x:v>
      </x:c>
      <x:c r="B22" s="14" t="str">
        <x:v>A2</x:v>
      </x:c>
      <x:c r="C22" s="14" t="str">
        <x:v>P1</x:v>
      </x:c>
      <x:c r="D22" s="14" t="str">
        <x:v>World Bank Enterprise Survey 2022 — Pakistan firm-level dataset</x:v>
      </x:c>
      <x:c r="E22" s="14" t="str">
        <x:v>Business / Jobs</x:v>
      </x:c>
      <x:c r="F22" s="14" t="str">
        <x:v>https://microdata.worldbank.org/catalog/6461</x:v>
      </x:c>
      <x:c r="G22" s="14" t="str">
        <x:v>https://www.enterprisesurveys.org/en/data</x:v>
      </x:c>
      <x:c r="H22" s="14" t="str">
        <x:v>Stata .dta file, questionnaire, metadata, PDF documentation</x:v>
      </x:c>
      <x:c r="I22" s="14" t="str">
        <x:v>2022; sample includes about 1,300 firms in the catalog metadata</x:v>
      </x:c>
      <x:c r="J22" s="14" t="str">
        <x:v>Survey represents eligible formal firms under its sampling design, not all informal businesses or all Pakistani employers.</x:v>
      </x:c>
      <x:c r="K22" s="18" t="str">
        <x:v>Not started</x:v>
      </x:c>
      <x:c r="L22" s="96"/>
    </x:row>
    <x:row r="23" ht="70" customHeight="1">
      <x:c r="A23" s="14" t="str">
        <x:v>Q-22</x:v>
      </x:c>
      <x:c r="B23" s="14" t="str">
        <x:v>A2</x:v>
      </x:c>
      <x:c r="C23" s="14" t="str">
        <x:v>P1</x:v>
      </x:c>
      <x:c r="D23" s="14" t="str">
        <x:v>Global Findex Database 2025 — downloadable data</x:v>
      </x:c>
      <x:c r="E23" s="14" t="str">
        <x:v>Digitalization / Gender / Finance</x:v>
      </x:c>
      <x:c r="F23" s="14" t="str">
        <x:v>https://www.worldbank.org/en/publication/globalfindex/download-data</x:v>
      </x:c>
      <x:c r="G23" s="14" t="str">
        <x:v>https://www.worldbank.org/en/publication/globalfindex/download-data</x:v>
      </x:c>
      <x:c r="H23" s="14" t="str">
        <x:v>Country-level XLSX/CSV/Stata files; individual-level microdata via Microdata Library; visualizations</x:v>
      </x:c>
      <x:c r="I23" s="14" t="str">
        <x:v>Indicators reported for 2024, 2021, 2017, 2014 and 2011 depending on measure</x:v>
      </x:c>
      <x:c r="J23" s="14" t="str">
        <x:v>Survey responses and modelled indicators are not administrative account counts; inspect indicator sample and questionnaire.</x:v>
      </x:c>
      <x:c r="K23" s="18" t="str">
        <x:v>Not started</x:v>
      </x:c>
      <x:c r="L23" s="96"/>
    </x:row>
    <x:row r="24" ht="70" customHeight="1">
      <x:c r="A24" s="14" t="str">
        <x:v>Q-23</x:v>
      </x:c>
      <x:c r="B24" s="14" t="str">
        <x:v>A2</x:v>
      </x:c>
      <x:c r="C24" s="14" t="str">
        <x:v>P1</x:v>
      </x:c>
      <x:c r="D24" s="14" t="str">
        <x:v>ILOSTAT bulk data download</x:v>
      </x:c>
      <x:c r="E24" s="14" t="str">
        <x:v>Labour / Jobs / Bulk files</x:v>
      </x:c>
      <x:c r="F24" s="14" t="str">
        <x:v>https://ilostat.ilo.org/data/bulk/</x:v>
      </x:c>
      <x:c r="G24" s="14" t="str">
        <x:v>https://ilostat.ilo.org/data/bulk/</x:v>
      </x:c>
      <x:c r="H24" s="14" t="str">
        <x:v>Bulk CSV/SDMX data and metadata</x:v>
      </x:c>
      <x:c r="I24" s="14" t="str">
        <x:v>Long-run indicator time series, release specific</x:v>
      </x:c>
      <x:c r="J24" s="14" t="str">
        <x:v>Bulk files can be large; record data version, indicator ID, source type and reference year.</x:v>
      </x:c>
      <x:c r="K24" s="18" t="str">
        <x:v>Not started</x:v>
      </x:c>
      <x:c r="L24" s="96"/>
    </x:row>
    <x:row r="25" ht="70" customHeight="1">
      <x:c r="A25" s="14" t="str">
        <x:v>Q-24</x:v>
      </x:c>
      <x:c r="B25" s="14" t="str">
        <x:v>A2</x:v>
      </x:c>
      <x:c r="C25" s="14" t="str">
        <x:v>P1</x:v>
      </x:c>
      <x:c r="D25" s="14" t="str">
        <x:v>World Bank Microdata Library — Pakistan study catalogue</x:v>
      </x:c>
      <x:c r="E25" s="14" t="str">
        <x:v>Microdata catalogue / Surveys</x:v>
      </x:c>
      <x:c r="F25" s="14" t="str">
        <x:v>https://microdata.worldbank.org/catalog/?country%5B%5D=pakistan&amp;page=1</x:v>
      </x:c>
      <x:c r="G25" s="14" t="str">
        <x:v>https://microdata.worldbank.org/catalog/?country%5B%5D=pakistan&amp;page=1</x:v>
      </x:c>
      <x:c r="H25" s="14" t="str">
        <x:v>Survey metadata, PDF documentation, DDI/XML/JSON metadata, downloadable or external-repository microdata</x:v>
      </x:c>
      <x:c r="I25" s="14" t="str">
        <x:v>Multiple years and survey types; catalogues are updated</x:v>
      </x:c>
      <x:c r="J25" s="14" t="str">
        <x:v>Some data are external, registration-gated or restricted; the catalog page is discovery, not proof of unrestricted download.</x:v>
      </x:c>
      <x:c r="K25" s="18" t="str">
        <x:v>Not started</x:v>
      </x:c>
      <x:c r="L25" s="96"/>
    </x:row>
    <x:row r="26" ht="70" customHeight="1">
      <x:c r="A26" s="14" t="str">
        <x:v>Q-25</x:v>
      </x:c>
      <x:c r="B26" s="14" t="str">
        <x:v>A2</x:v>
      </x:c>
      <x:c r="C26" s="14" t="str">
        <x:v>P1</x:v>
      </x:c>
      <x:c r="D26" s="14" t="str">
        <x:v>UNICEF Multiple Indicator Cluster Surveys (MICS) data portal</x:v>
      </x:c>
      <x:c r="E26" s="14" t="str">
        <x:v>Children / Household survey</x:v>
      </x:c>
      <x:c r="F26" s="14" t="str">
        <x:v>https://mics.unicef.org/</x:v>
      </x:c>
      <x:c r="G26" s="14" t="str">
        <x:v>https://mics.unicef.org/</x:v>
      </x:c>
      <x:c r="H26" s="14" t="str">
        <x:v>Survey datasets, questionnaires, reports, tabulation tools and technical documentation</x:v>
      </x:c>
      <x:c r="I26" s="14" t="str">
        <x:v>Pakistan provincial MICS waves by province/year; latest survey listings vary</x:v>
      </x:c>
      <x:c r="J26" s="14" t="str">
        <x:v>Microdata often require registration/request and a data-use agreement; verify the specific Pakistan round.</x:v>
      </x:c>
      <x:c r="K26" s="18" t="str">
        <x:v>Not started</x:v>
      </x:c>
      <x:c r="L26" s="96"/>
    </x:row>
    <x:row r="27" ht="70" customHeight="1">
      <x:c r="A27" s="14" t="str">
        <x:v>Q-26</x:v>
      </x:c>
      <x:c r="B27" s="14" t="str">
        <x:v>A2</x:v>
      </x:c>
      <x:c r="C27" s="14" t="str">
        <x:v>P2</x:v>
      </x:c>
      <x:c r="D27" s="14" t="str">
        <x:v>WHO/UNICEF Joint Monitoring Programme (JMP) Pakistan</x:v>
      </x:c>
      <x:c r="E27" s="14" t="str">
        <x:v>Water / Sanitation / Hygiene</x:v>
      </x:c>
      <x:c r="F27" s="14" t="str">
        <x:v>https://washdata.org/countries/pakistan</x:v>
      </x:c>
      <x:c r="G27" s="14" t="str">
        <x:v>https://washdata.org/countries/pakistan</x:v>
      </x:c>
      <x:c r="H27" s="14" t="str">
        <x:v>Interactive charts, Excel downloads and MICS/survey report links</x:v>
      </x:c>
      <x:c r="I27" s="14" t="str">
        <x:v>National estimates over time; survey-based rounds and annual global updates</x:v>
      </x:c>
      <x:c r="J27" s="14" t="str">
        <x:v>JMP harmonizes many national surveys; the modeled series may differ from a single PBS table.</x:v>
      </x:c>
      <x:c r="K27" s="18" t="str">
        <x:v>Not started</x:v>
      </x:c>
      <x:c r="L27" s="96"/>
    </x:row>
    <x:row r="28" ht="70" customHeight="1">
      <x:c r="A28" s="14" t="str">
        <x:v>Q-27</x:v>
      </x:c>
      <x:c r="B28" s="14" t="str">
        <x:v>A2</x:v>
      </x:c>
      <x:c r="C28" s="14" t="str">
        <x:v>P2</x:v>
      </x:c>
      <x:c r="D28" s="14" t="str">
        <x:v>World Bank Poverty and Inequality Platform (PIP)</x:v>
      </x:c>
      <x:c r="E28" s="14" t="str">
        <x:v>Poverty / Inequality</x:v>
      </x:c>
      <x:c r="F28" s="14" t="str">
        <x:v>https://pip.worldbank.org/</x:v>
      </x:c>
      <x:c r="G28" s="14" t="str">
        <x:v>https://pip.worldbank.org/</x:v>
      </x:c>
      <x:c r="H28" s="14" t="str">
        <x:v>Interactive poverty/inequality tools, data download and methodological notes</x:v>
      </x:c>
      <x:c r="I28" s="14" t="str">
        <x:v>Country-specific survey-based estimates and poverty-line series</x:v>
      </x:c>
      <x:c r="J28" s="14" t="str">
        <x:v>Compare using the same poverty line, PPP vintage, survey year and welfare aggregate.</x:v>
      </x:c>
      <x:c r="K28" s="18" t="str">
        <x:v>Not started</x:v>
      </x:c>
      <x:c r="L28" s="96"/>
    </x:row>
    <x:row r="29" ht="70" customHeight="1">
      <x:c r="A29" s="14" t="str">
        <x:v>Q-28</x:v>
      </x:c>
      <x:c r="B29" s="14" t="str">
        <x:v>A2</x:v>
      </x:c>
      <x:c r="C29" s="14" t="str">
        <x:v>P1</x:v>
      </x:c>
      <x:c r="D29" s="14" t="str">
        <x:v>UN Comtrade Plus</x:v>
      </x:c>
      <x:c r="E29" s="14" t="str">
        <x:v>Trade / Commodity-level</x:v>
      </x:c>
      <x:c r="F29" s="14" t="str">
        <x:v>https://comtradeplus.un.org/</x:v>
      </x:c>
      <x:c r="G29" s="14" t="str">
        <x:v>https://comtradeplus.un.org/</x:v>
      </x:c>
      <x:c r="H29" s="14" t="str">
        <x:v>Commodity-by-country trade database, API and downloadable query results</x:v>
      </x:c>
      <x:c r="I29" s="14" t="str">
        <x:v>Monthly/annual; commodity classifications and country reporting vary</x:v>
      </x:c>
      <x:c r="J29" s="14" t="str">
        <x:v>Data are reported by customs authorities and can be revised; align HS revisions, valuation and mirror data.</x:v>
      </x:c>
      <x:c r="K29" s="18" t="str">
        <x:v>Not started</x:v>
      </x:c>
      <x:c r="L29" s="96"/>
    </x:row>
    <x:row r="30" ht="70" customHeight="1">
      <x:c r="A30" s="14" t="str">
        <x:v>Q-29</x:v>
      </x:c>
      <x:c r="B30" s="14" t="str">
        <x:v>A2</x:v>
      </x:c>
      <x:c r="C30" s="14" t="str">
        <x:v>P1</x:v>
      </x:c>
      <x:c r="D30" s="14" t="str">
        <x:v>World Bank Indicators API: Pakistan example</x:v>
      </x:c>
      <x:c r="E30" s="14" t="str">
        <x:v>Cross-country macroeconomics / API</x:v>
      </x:c>
      <x:c r="F30" s="14" t="str">
        <x:v>https://api.worldbank.org/v2/country/PAK/indicator/NY.GDP.MKTP.CD?format=json</x:v>
      </x:c>
      <x:c r="G30" s="14" t="str">
        <x:v>https://api.worldbank.org/v2/country/PAK/indicator/NY.GDP.MKTP.CD?format=json</x:v>
      </x:c>
      <x:c r="H30" s="14" t="str">
        <x:v>JSON API; queryable indicator/country/year endpoints</x:v>
      </x:c>
      <x:c r="I30" s="14" t="str">
        <x:v>Indicator-specific historical period</x:v>
      </x:c>
      <x:c r="J30" s="14" t="str">
        <x:v>API provides one indicator in example; check pagination, metadata and indicator IDs; don't assume all sources update together.</x:v>
      </x:c>
      <x:c r="K30" s="18" t="str">
        <x:v>Not started</x:v>
      </x:c>
      <x:c r="L30" s="96"/>
    </x:row>
    <x:row r="31" ht="70" customHeight="1">
      <x:c r="A31" s="14" t="str">
        <x:v>Q-30</x:v>
      </x:c>
      <x:c r="B31" s="14" t="str">
        <x:v>A1</x:v>
      </x:c>
      <x:c r="C31" s="14" t="str">
        <x:v>P2</x:v>
      </x:c>
      <x:c r="D31" s="14" t="str">
        <x:v>Pakistan Single Window Trade Insights</x:v>
      </x:c>
      <x:c r="E31" s="14" t="str">
        <x:v>Trade / Interactive</x:v>
      </x:c>
      <x:c r="F31" s="14" t="str">
        <x:v>https://psw.gov.pk/trading-insights</x:v>
      </x:c>
      <x:c r="G31" s="14" t="str">
        <x:v>https://psw.gov.pk/trading-insights</x:v>
      </x:c>
      <x:c r="H31" s="14" t="str">
        <x:v>Interactive charts, country maps, monthly time series and commodity selectors</x:v>
      </x:c>
      <x:c r="I31" s="14" t="str">
        <x:v>FY2020–21 to FY2024–25 as described on page; confirm refresh coverage</x:v>
      </x:c>
      <x:c r="J31" s="14" t="str">
        <x:v>Dashboard's published coverage window may differ from the newest PBS release; confirm latest year and source notes.</x:v>
      </x:c>
      <x:c r="K31" s="18" t="str">
        <x:v>Not started</x:v>
      </x:c>
      <x:c r="L31" s="96"/>
    </x:row>
    <x:row r="32" ht="70" customHeight="1">
      <x:c r="A32" s="14" t="str">
        <x:v>Q-31</x:v>
      </x:c>
      <x:c r="B32" s="14" t="str">
        <x:v>A1</x:v>
      </x:c>
      <x:c r="C32" s="14" t="str">
        <x:v>P2</x:v>
      </x:c>
      <x:c r="D32" s="14" t="str">
        <x:v>PBS GIS and administrative-unit tables</x:v>
      </x:c>
      <x:c r="E32" s="14" t="str">
        <x:v>Geospatial / Boundaries</x:v>
      </x:c>
      <x:c r="F32" s="14" t="str">
        <x:v>https://www.pbs.gov.pk/gis/</x:v>
      </x:c>
      <x:c r="G32" s="14" t="str">
        <x:v>https://www.pbs.gov.pk/gis/</x:v>
      </x:c>
      <x:c r="H32" s="14" t="str">
        <x:v>GIS information, administrative-unit lists, maps and links to census/PSLM/HIES reports</x:v>
      </x:c>
      <x:c r="I32" s="14" t="str">
        <x:v>Census 2023 and archived survey rounds</x:v>
      </x:c>
      <x:c r="J32" s="14" t="str">
        <x:v>Availability of GIS boundary files varies; some maps may be visual references rather than open shapefiles.</x:v>
      </x:c>
      <x:c r="K32" s="18" t="str">
        <x:v>Not started</x:v>
      </x:c>
      <x:c r="L32" s="96"/>
    </x:row>
    <x:row r="33" ht="70" customHeight="1">
      <x:c r="A33" s="14" t="str">
        <x:v>Q-32</x:v>
      </x:c>
      <x:c r="B33" s="14" t="str">
        <x:v>A1</x:v>
      </x:c>
      <x:c r="C33" s="14" t="str">
        <x:v>P1</x:v>
      </x:c>
      <x:c r="D33" s="14" t="str">
        <x:v>Mouza Census 2020 microdata and dashboard</x:v>
      </x:c>
      <x:c r="E33" s="14" t="str">
        <x:v>Rural infrastructure / Agriculture</x:v>
      </x:c>
      <x:c r="F33" s="14" t="str">
        <x:v>https://www.pbs.gov.pk/mouza-census/</x:v>
      </x:c>
      <x:c r="G33" s="14" t="str">
        <x:v>https://www.pbs.gov.pk/mouza-census/</x:v>
      </x:c>
      <x:c r="H33" s="14" t="str">
        <x:v>SPSS, Excel, questionnaire, form and instructional manual; dashboard and reports</x:v>
      </x:c>
      <x:c r="I33" s="14" t="str">
        <x:v>2020; historical 2008 microdata also offered</x:v>
      </x:c>
      <x:c r="J33" s="14" t="str">
        <x:v>Mouza boundaries and administrative names need harmonization; inspect the questionnaire and codebook.</x:v>
      </x:c>
      <x:c r="K33" s="18" t="str">
        <x:v>Not started</x:v>
      </x:c>
      <x:c r="L33" s="96"/>
    </x:row>
    <x:row r="34" ht="70" customHeight="1">
      <x:c r="A34" s="14" t="str">
        <x:v>Q-33</x:v>
      </x:c>
      <x:c r="B34" s="14" t="str">
        <x:v>A1</x:v>
      </x:c>
      <x:c r="C34" s="14" t="str">
        <x:v>P2</x:v>
      </x:c>
      <x:c r="D34" s="14" t="str">
        <x:v>Diaspora Database Dashboard: overseas Pakistani employment</x:v>
      </x:c>
      <x:c r="E34" s="14" t="str">
        <x:v>Migration / Jobs</x:v>
      </x:c>
      <x:c r="F34" s="14" t="str">
        <x:v>https://dashboards.data.gov.pk/Diaspora/Migration</x:v>
      </x:c>
      <x:c r="G34" s="14" t="str">
        <x:v>https://dashboards.data.gov.pk/Diaspora/Migration</x:v>
      </x:c>
      <x:c r="H34" s="14" t="str">
        <x:v>Interactive dashboard, trend indicators and skill categories</x:v>
      </x:c>
      <x:c r="I34" s="14" t="str">
        <x:v>Yearly data with current-year and historical views displayed</x:v>
      </x:c>
      <x:c r="J34" s="14" t="str">
        <x:v>Registration counts reflect formal overseas employment channels; not all migration or all emigrants.</x:v>
      </x:c>
      <x:c r="K34" s="18" t="str">
        <x:v>Not started</x:v>
      </x:c>
      <x:c r="L34" s="96"/>
    </x:row>
    <x:row r="35" ht="70" customHeight="1">
      <x:c r="A35" s="14" t="str">
        <x:v>Q-34</x:v>
      </x:c>
      <x:c r="B35" s="14" t="str">
        <x:v>A1</x:v>
      </x:c>
      <x:c r="C35" s="14" t="str">
        <x:v>P2</x:v>
      </x:c>
      <x:c r="D35" s="14" t="str">
        <x:v>Public debt bulletins, debt strategy and debt reports</x:v>
      </x:c>
      <x:c r="E35" s="14" t="str">
        <x:v>Public debt</x:v>
      </x:c>
      <x:c r="F35" s="14" t="str">
        <x:v>https://www.finance.gov.pk/dpco_publications.html</x:v>
      </x:c>
      <x:c r="G35" s="14" t="str">
        <x:v>https://www.finance.gov.pk/dpco/debt_bulletin_1hy_2026.pdf</x:v>
      </x:c>
      <x:c r="H35" s="14" t="str">
        <x:v>Periodic PDFs, debt strategy and statistical exhibits</x:v>
      </x:c>
      <x:c r="I35" s="14" t="str">
        <x:v>Semiannual/annual; 1HFY26 bulletin covers end-Dec 2025</x:v>
      </x:c>
      <x:c r="J35" s="14" t="str">
        <x:v>Reconcile Finance Division and SBP series; definitions of public debt/guarantees and valuation dates matter.</x:v>
      </x:c>
      <x:c r="K35" s="18" t="str">
        <x:v>Not started</x:v>
      </x:c>
      <x:c r="L35" s="96"/>
    </x:row>
    <x:row r="36" ht="70" customHeight="1">
      <x:c r="A36" s="14" t="str">
        <x:v>Q-35</x:v>
      </x:c>
      <x:c r="B36" s="14" t="str">
        <x:v>A1</x:v>
      </x:c>
      <x:c r="C36" s="14" t="str">
        <x:v>P1</x:v>
      </x:c>
      <x:c r="D36" s="14" t="str">
        <x:v>Federal Budget Documents 2026–27</x:v>
      </x:c>
      <x:c r="E36" s="14" t="str">
        <x:v>Public finance / Federal budget</x:v>
      </x:c>
      <x:c r="F36" s="14" t="str">
        <x:v>https://www.finance.gov.pk/fb_2026_27.html</x:v>
      </x:c>
      <x:c r="G36" s="14" t="str">
        <x:v>https://www.finance.gov.pk/fb_2026_27.html</x:v>
      </x:c>
      <x:c r="H36" s="14" t="str">
        <x:v>Budget in Brief, annual budget statement, federal receipts, demands for grants, current/development volumes, medium-term performance budget</x:v>
      </x:c>
      <x:c r="I36" s="14" t="str">
        <x:v>FY2026–27 budget; past fiscal-year revised/actual estimates appear in documents</x:v>
      </x:c>
      <x:c r="J36" s="14" t="str">
        <x:v>Budget estimates are not actual expenditure. Compare against revised estimates and audited outturns.</x:v>
      </x:c>
      <x:c r="K36" s="18" t="str">
        <x:v>Not started</x:v>
      </x:c>
      <x:c r="L36" s="96"/>
    </x:row>
    <x:row r="37" ht="70" customHeight="1">
      <x:c r="A37" s="14" t="str">
        <x:v>Q-36</x:v>
      </x:c>
      <x:c r="B37" s="14" t="str">
        <x:v>A1</x:v>
      </x:c>
      <x:c r="C37" s="14" t="str">
        <x:v>P1</x:v>
      </x:c>
      <x:c r="D37" s="14" t="str">
        <x:v>Federal Budget in Brief 2026–27</x:v>
      </x:c>
      <x:c r="E37" s="14" t="str">
        <x:v>Public finance / Federal budget</x:v>
      </x:c>
      <x:c r="F37" s="14" t="str">
        <x:v>https://www.finance.gov.pk/fb_2026_27.html</x:v>
      </x:c>
      <x:c r="G37" s="14" t="str">
        <x:v>https://www.finance.gov.pk/budget/budget_2026_27/Budget_in_Brief.pdf</x:v>
      </x:c>
      <x:c r="H37" s="14" t="str">
        <x:v>PDF with revenue, expenditure, fiscal deficit, provincial shares, subsidies, grants, PSDP and functional classifications</x:v>
      </x:c>
      <x:c r="I37" s="14" t="str">
        <x:v>FY2026–27 estimates; comparative previous-year figures</x:v>
      </x:c>
      <x:c r="J37" s="14" t="str">
        <x:v>Budget taxonomy differs from functional/COFOG categories; keep original line item and fiscal-year status.</x:v>
      </x:c>
      <x:c r="K37" s="18" t="str">
        <x:v>Not started</x:v>
      </x:c>
      <x:c r="L37" s="96"/>
    </x:row>
    <x:row r="38" ht="70" customHeight="1">
      <x:c r="A38" s="14" t="str">
        <x:v>Q-37</x:v>
      </x:c>
      <x:c r="B38" s="14" t="str">
        <x:v>A1</x:v>
      </x:c>
      <x:c r="C38" s="14" t="str">
        <x:v>P2</x:v>
      </x:c>
      <x:c r="D38" s="14" t="str">
        <x:v>FBR Tax Expenditure Report 2025</x:v>
      </x:c>
      <x:c r="E38" s="14" t="str">
        <x:v>Tax / Public finance</x:v>
      </x:c>
      <x:c r="F38" s="14" t="str">
        <x:v>https://www.fbr.gov.pk/</x:v>
      </x:c>
      <x:c r="G38" s="14" t="str">
        <x:v>https://download1.fbr.gov.pk/Docs/202595159423458TaxExpenditureReport2025.pdf</x:v>
      </x:c>
      <x:c r="H38" s="14" t="str">
        <x:v>PDF report with federal tax exemptions, concessions and estimated revenue foregone</x:v>
      </x:c>
      <x:c r="I38" s="14" t="str">
        <x:v>Report 2025; estimates based on FY2023–24</x:v>
      </x:c>
      <x:c r="J38" s="14" t="str">
        <x:v>Tax-expenditure figures are estimates and depend on benchmark tax law and estimation approach.</x:v>
      </x:c>
      <x:c r="K38" s="18" t="str">
        <x:v>Not started</x:v>
      </x:c>
      <x:c r="L38" s="96"/>
    </x:row>
  </x:sheetData>
  <x:dataValidations count="1">
    <x:dataValidation type="list" sqref="K2:K38">
      <x:formula1>"Not started,Located,Downloaded,Validated,Used,Restricted / Contact"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9678facbfe432b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42" hidden="0" customWidth="1"/>
    <x:col min="3" max="3" width="42" hidden="0" customWidth="1"/>
    <x:col min="4" max="4" width="36" hidden="0" customWidth="1"/>
    <x:col min="5" max="5" width="28" hidden="0" customWidth="1"/>
    <x:col min="6" max="6" width="48" hidden="0" customWidth="1"/>
    <x:col min="7" max="7" width="48" hidden="0" customWidth="1"/>
  </x:cols>
  <x:sheetData>
    <x:row r="1" ht="34" customHeight="1">
      <x:c r="A1" s="4" t="str">
        <x:v>Topic / question</x:v>
      </x:c>
      <x:c r="B1" s="4" t="str">
        <x:v>Primary Pakistan data source(s)</x:v>
      </x:c>
      <x:c r="C1" s="4" t="str">
        <x:v>Useful raw files / tables</x:v>
      </x:c>
      <x:c r="D1" s="4" t="str">
        <x:v>International comparator / second source</x:v>
      </x:c>
      <x:c r="E1" s="4" t="str">
        <x:v>Best geographic level</x:v>
      </x:c>
      <x:c r="F1" s="4" t="str">
        <x:v>Potential analysis directions</x:v>
      </x:c>
      <x:c r="G1" s="4" t="str">
        <x:v>Key caution</x:v>
      </x:c>
    </x:row>
    <x:row r="2" ht="72" customHeight="1">
      <x:c r="A2" s="14" t="str">
        <x:v>Poverty &amp; inequality</x:v>
      </x:c>
      <x:c r="B2" s="14" t="str">
        <x:v>PBS HIES 2024–25; Planning Commission Poverty Estimation 2024–25; PSLM</x:v>
      </x:c>
      <x:c r="C2" s="14" t="str">
        <x:v>HIES SPSS/Stata, report tables, PSLM microdata/dashboard</x:v>
      </x:c>
      <x:c r="D2" s="14" t="str">
        <x:v>World Bank PIP; UNDP MPI</x:v>
      </x:c>
      <x:c r="E2" s="14" t="str">
        <x:v>National / provincial; district where survey design supports</x:v>
      </x:c>
      <x:c r="F2" s="14" t="str">
        <x:v>Consumption poverty replication, quintile gaps, urban-rural decomposition, poverty correlates, access/deprivation index</x:v>
      </x:c>
      <x:c r="G2" s="14" t="str">
        <x:v>Poverty headcount and MPI are different concepts; survey weights, poverty line and household/person units matter.</x:v>
      </x:c>
    </x:row>
    <x:row r="3" ht="72" customHeight="1">
      <x:c r="A3" s="14" t="str">
        <x:v>Household income &amp; consumption</x:v>
      </x:c>
      <x:c r="B3" s="14" t="str">
        <x:v>PBS HIES; historical HIES waves</x:v>
      </x:c>
      <x:c r="C3" s="14" t="str">
        <x:v>Microdata ZIPs, questionnaire, codebook, economic report</x:v>
      </x:c>
      <x:c r="D3" s="14" t="str">
        <x:v>World Bank PIP; Global Findex for finance variables</x:v>
      </x:c>
      <x:c r="E3" s="14" t="str">
        <x:v>National/provincial and documented survey domains</x:v>
      </x:c>
      <x:c r="F3" s="14" t="str">
        <x:v>Consumption baskets, income sources, inequality, food share, savings/debt, health out-of-pocket burden</x:v>
      </x:c>
      <x:c r="G3" s="14" t="str">
        <x:v>Check currency/price base, recall periods, imputation and household-size equivalence.</x:v>
      </x:c>
    </x:row>
    <x:row r="4" ht="72" customHeight="1">
      <x:c r="A4" s="14" t="str">
        <x:v>Inflation / prices</x:v>
      </x:c>
      <x:c r="B4" s="14" t="str">
        <x:v>PBS CPI, SPI, WPI monthly/weekly annexures</x:v>
      </x:c>
      <x:c r="C4" s="14" t="str">
        <x:v>Excel release tables and item/market annexures</x:v>
      </x:c>
      <x:c r="D4" s="14" t="str">
        <x:v>SBP; IMF; World Bank/FAO commodity series</x:v>
      </x:c>
      <x:c r="E4" s="14" t="str">
        <x:v>National, urban/rural; CPI city/market coverage as specified</x:v>
      </x:c>
      <x:c r="F4" s="14" t="str">
        <x:v>Food vs non-food contribution, city price divergence, real-income pressures, pass-through</x:v>
      </x:c>
      <x:c r="G4" s="14" t="str">
        <x:v>CPI/SPI/WPI have different baskets and frequencies; avoid treating them as interchangeable cost-of-living measures.</x:v>
      </x:c>
    </x:row>
    <x:row r="5" ht="72" customHeight="1">
      <x:c r="A5" s="14" t="str">
        <x:v>GDP / productivity</x:v>
      </x:c>
      <x:c r="B5" s="14" t="str">
        <x:v>PBS national accounts; Economic Survey Statistical Supplement</x:v>
      </x:c>
      <x:c r="C5" s="14" t="str">
        <x:v>Quarterly/annual accounts Excel, sector tables</x:v>
      </x:c>
      <x:c r="D5" s="14" t="str">
        <x:v>IMF WEO; World Bank WDI; ADB</x:v>
      </x:c>
      <x:c r="E5" s="14" t="str">
        <x:v>National and sector-level; quarterly where available</x:v>
      </x:c>
      <x:c r="F5" s="14" t="str">
        <x:v>Sector contribution, structural change, productivity proxies, shocks and revisions</x:v>
      </x:c>
      <x:c r="G5" s="14" t="str">
        <x:v>Keep data vintage/rebasing and provisional/final status.</x:v>
      </x:c>
    </x:row>
    <x:row r="6" ht="72" customHeight="1">
      <x:c r="A6" s="14" t="str">
        <x:v>Jobs / unemployment / wages</x:v>
      </x:c>
      <x:c r="B6" s="14" t="str">
        <x:v>PBS LFS 2024–25; LFS history; Employment Trend Report</x:v>
      </x:c>
      <x:c r="C6" s="14" t="str">
        <x:v>SPSS/Stata files, questionnaire, codebooks, occupation/industry code lists</x:v>
      </x:c>
      <x:c r="D6" s="14" t="str">
        <x:v>ILOSTAT; World Bank</x:v>
      </x:c>
      <x:c r="E6" s="14" t="str">
        <x:v>National/province/urban-rural; district only where design allows</x:v>
      </x:c>
      <x:c r="F6" s="14" t="str">
        <x:v>Labour participation by age/sex, real wages, informal work, underemployment, digital platform work, wage gaps</x:v>
      </x:c>
      <x:c r="G6" s="14" t="str">
        <x:v>Weighting, definitions, age threshold, survey redesign and season/reference period matter.</x:v>
      </x:c>
    </x:row>
    <x:row r="7" ht="72" customHeight="1">
      <x:c r="A7" s="14" t="str">
        <x:v>Gender &amp; unpaid care</x:v>
      </x:c>
      <x:c r="B7" s="14" t="str">
        <x:v>PBS HIES/LFS; Punjab Women’s Economic and Social Well-being Survey; MICS</x:v>
      </x:c>
      <x:c r="C7" s="14" t="str">
        <x:v>Microdata, survey questionnaires and reports</x:v>
      </x:c>
      <x:c r="D7" s="14" t="str">
        <x:v>World Bank Gender Data; ILOSTAT; UN Women sources where available</x:v>
      </x:c>
      <x:c r="E7" s="14" t="str">
        <x:v>National/provincial, sex/age and supported subgroups</x:v>
      </x:c>
      <x:c r="F7" s="14" t="str">
        <x:v>Gender wage/employment gaps, digital access, unpaid work, education transition, asset access</x:v>
      </x:c>
      <x:c r="G7" s="14" t="str">
        <x:v>Separate individual-level from household-level measures; modelled gender estimates aren’t raw survey counts.</x:v>
      </x:c>
    </x:row>
    <x:row r="8" ht="72" customHeight="1">
      <x:c r="A8" s="14" t="str">
        <x:v>Education / literacy / out-of-school</x:v>
      </x:c>
      <x:c r="B8" s="14" t="str">
        <x:v>PBS Census 2023 and HIES/PSLM; Pakistan Institute of Education; provincial EMIS</x:v>
      </x:c>
      <x:c r="C8" s="14" t="str">
        <x:v>Census Excel tables, HIES/PSLM files, Education Statistics report, school profiles</x:v>
      </x:c>
      <x:c r="D8" s="14" t="str">
        <x:v>UNESCO UIS; UNICEF MICS; ASER</x:v>
      </x:c>
      <x:c r="E8" s="14" t="str">
        <x:v>National/province/district; school-level if released</x:v>
      </x:c>
      <x:c r="F8" s="14" t="str">
        <x:v>School supply vs population, out-of-school geography, gender gap, public/private enrolment, learning vs access</x:v>
      </x:c>
      <x:c r="G8" s="14" t="str">
        <x:v>Literacy, enrollment, attendance, completion and learning are distinct constructs.</x:v>
      </x:c>
    </x:row>
    <x:row r="9" ht="72" customHeight="1">
      <x:c r="A9" s="14" t="str">
        <x:v>Health / maternal-child</x:v>
      </x:c>
      <x:c r="B9" s="14" t="str">
        <x:v>NIPS/DHS; HIES/PSLM; provincial MICS; NDHH; NIH where published</x:v>
      </x:c>
      <x:c r="C9" s="14" t="str">
        <x:v>Microdata, questionnaires, health indicators, MICS reports</x:v>
      </x:c>
      <x:c r="D9" s="14" t="str">
        <x:v>WHO GHO; UNICEF Data; IHME; World Bank</x:v>
      </x:c>
      <x:c r="E9" s="14" t="str">
        <x:v>National/provincial and MICS district domains as designed</x:v>
      </x:c>
      <x:c r="F9" s="14" t="str">
        <x:v>Access vs outcomes, vaccination/nutrition, out-of-pocket cost, environmental determinants</x:v>
      </x:c>
      <x:c r="G9" s="14" t="str">
        <x:v>Administrative coverage, survey prevalence and modelled burden should not be merged without labels.</x:v>
      </x:c>
    </x:row>
    <x:row r="10" ht="72" customHeight="1">
      <x:c r="A10" s="14" t="str">
        <x:v>Population / households / migration</x:v>
      </x:c>
      <x:c r="B10" s="14" t="str">
        <x:v>PBS Census 2023; PDS 2020; Mouza Census; NIPS/DHS; LFS</x:v>
      </x:c>
      <x:c r="C10" s="14" t="str">
        <x:v>Census Excel, locality/GIS tables, PDS microdata, Mouza SPSS/Excel</x:v>
      </x:c>
      <x:c r="D10" s="14" t="str">
        <x:v>UN Population Division; WorldPop</x:v>
      </x:c>
      <x:c r="E10" s="14" t="str">
        <x:v>National to district/locality; gridded estimates for small areas</x:v>
      </x:c>
      <x:c r="F10" s="14" t="str">
        <x:v>Population denominators, dependency ratios, migration and service need, household size, settlement patterns</x:v>
      </x:c>
      <x:c r="G10" s="14" t="str">
        <x:v>Census boundary/definitions and population projection vintages must be recorded.</x:v>
      </x:c>
    </x:row>
    <x:row r="11" ht="72" customHeight="1">
      <x:c r="A11" s="14" t="str">
        <x:v>Digital access / internet</x:v>
      </x:c>
      <x:c r="B11" s="14" t="str">
        <x:v>PBS HIES, Census 2023, PTA, LFS; PBS IT services statistics</x:v>
      </x:c>
      <x:c r="C11" s="14" t="str">
        <x:v>Household microdata, detailed census Excel, telecom series</x:v>
      </x:c>
      <x:c r="D11" s="14" t="str">
        <x:v>ITU DataHub; Global Findex; DataReportal as aggregator</x:v>
      </x:c>
      <x:c r="E11" s="14" t="str">
        <x:v>National/province/district or person/household depending on source</x:v>
      </x:c>
      <x:c r="F11" s="14" t="str">
        <x:v>Digital divide by sex/age/urban-rural/income, connectivity and service access, digital work</x:v>
      </x:c>
      <x:c r="G11" s="14" t="str">
        <x:v>Household internet access, individual internet use, subscriber connections and social-media ad reach are different measures.</x:v>
      </x:c>
    </x:row>
    <x:row r="12" ht="72" customHeight="1">
      <x:c r="A12" s="14" t="str">
        <x:v>Businesses / jobs / industrial structure</x:v>
      </x:c>
      <x:c r="B12" s="14" t="str">
        <x:v>PBS Economic Census 2023; PBS industrial production; WB Enterprise Survey 2022</x:v>
      </x:c>
      <x:c r="C12" s="14" t="str">
        <x:v>District/industry XLSX tables; firm microdata; LSM series</x:v>
      </x:c>
      <x:c r="D12" s="14" t="str">
        <x:v>PBC/PACRA; World Bank Enterprise Surveys</x:v>
      </x:c>
      <x:c r="E12" s="14" t="str">
        <x:v>District and PSIC category for census; sampled firms for enterprise survey</x:v>
      </x:c>
      <x:c r="F12" s="14" t="str">
        <x:v>Business density, job concentration, SME geography, access to finance, sector composition</x:v>
      </x:c>
      <x:c r="G12" s="14" t="str">
        <x:v>Establishment counts do not measure output/profit; WB ES sample covers defined formal private-sector firms.</x:v>
      </x:c>
    </x:row>
    <x:row r="13" ht="72" customHeight="1">
      <x:c r="A13" s="14" t="str">
        <x:v>Trade / exports / imports</x:v>
      </x:c>
      <x:c r="B13" s="14" t="str">
        <x:v>PBS External Trade; Ministry of Commerce; PSW Trade Insights</x:v>
      </x:c>
      <x:c r="C13" s="14" t="str">
        <x:v>Monthly Excel files and commodity/partner tables</x:v>
      </x:c>
      <x:c r="D13" s="14" t="str">
        <x:v>UN Comtrade; WITS; WTO; UNCTADstat</x:v>
      </x:c>
      <x:c r="E13" s="14" t="str">
        <x:v>National, partner, HS commodity and month</x:v>
      </x:c>
      <x:c r="F13" s="14" t="str">
        <x:v>Product diversification, concentration, import dependence, market entry, revealed comparative advantage</x:v>
      </x:c>
      <x:c r="G13" s="14" t="str">
        <x:v>Harmonize HS revisions, f.o.b./c.i.f. basis, financial years and customs/service-trade coverage.</x:v>
      </x:c>
    </x:row>
    <x:row r="14" ht="72" customHeight="1">
      <x:c r="A14" s="14" t="str">
        <x:v>Remittances / FX / external balance</x:v>
      </x:c>
      <x:c r="B14" s="14" t="str">
        <x:v>SBP EasyData / Economic Data</x:v>
      </x:c>
      <x:c r="C14" s="14" t="str">
        <x:v>Monthly time series, remittances by country, reserves, BoP and FX series</x:v>
      </x:c>
      <x:c r="D14" s="14" t="str">
        <x:v>IMF; World Bank; ADB</x:v>
      </x:c>
      <x:c r="E14" s="14" t="str">
        <x:v>National time series and source-specific partner breakdowns</x:v>
      </x:c>
      <x:c r="F14" s="14" t="str">
        <x:v>Remittance-source concentration, FX pressure, imports cover, current-account structure</x:v>
      </x:c>
      <x:c r="G14" s="14" t="str">
        <x:v>Revision and valuation differences; nominal totals should be deflated or normalized for some comparisons.</x:v>
      </x:c>
    </x:row>
    <x:row r="15" ht="72" customHeight="1">
      <x:c r="A15" s="14" t="str">
        <x:v>Government budget / public debt</x:v>
      </x:c>
      <x:c r="B15" s="14" t="str">
        <x:v>Finance Division budget books, debt bulletin, PES; FBR revenue; provincial budget books</x:v>
      </x:c>
      <x:c r="C15" s="14" t="str">
        <x:v>Budget PDFs/Excel tables, debt reports, revenue statistics</x:v>
      </x:c>
      <x:c r="D15" s="14" t="str">
        <x:v>IMF Fiscal Monitor; World Bank</x:v>
      </x:c>
      <x:c r="E15" s="14" t="str">
        <x:v>Federal/province; functional/economic classification and fiscal year</x:v>
      </x:c>
      <x:c r="F15" s="14" t="str">
        <x:v>Budget execution, interest burden, per-capita spending, tax expenditures, social-sector shares</x:v>
      </x:c>
      <x:c r="G15" s="14" t="str">
        <x:v>Budgeted vs revised vs actual spending are different; reconcile fiscal years and consolidated-government scope.</x:v>
      </x:c>
    </x:row>
    <x:row r="16" ht="72" customHeight="1">
      <x:c r="A16" s="14" t="str">
        <x:v>Agriculture / rural economies</x:v>
      </x:c>
      <x:c r="B16" s="14" t="str">
        <x:v>PBS Agricultural Census 2024; agriculture stats; Mouza Census 2020</x:v>
      </x:c>
      <x:c r="C16" s="14" t="str">
        <x:v>Country PDF, district/holding tables, Mouza microdata/Excel</x:v>
      </x:c>
      <x:c r="D16" s="14" t="str">
        <x:v>FAOSTAT; FAO AQUASTAT; PARC</x:v>
      </x:c>
      <x:c r="E16" s="14" t="str">
        <x:v>National/province/district/mouza depending on table</x:v>
      </x:c>
      <x:c r="F16" s="14" t="str">
        <x:v>Farm structure, water access, mechanization, crop exposure, rural infrastructure/service access</x:v>
      </x:c>
      <x:c r="G16" s="14" t="str">
        <x:v>Do not mix sample estimates with full-count census measures; crop years may differ from financial years.</x:v>
      </x:c>
    </x:row>
    <x:row r="17" ht="72" customHeight="1">
      <x:c r="A17" s="14" t="str">
        <x:v>Infrastructure / WASH / energy</x:v>
      </x:c>
      <x:c r="B17" s="14" t="str">
        <x:v>Mouza Census; PBS Census 2023 amenities; NEPRA/OGRA/IRSA; relevant line ministries</x:v>
      </x:c>
      <x:c r="C17" s="14" t="str">
        <x:v>Census facility tables, locality records, regulator performance reports</x:v>
      </x:c>
      <x:c r="D17" s="14" t="str">
        <x:v>WHO/UNICEF JMP; World Bank climate/data portals; IEA</x:v>
      </x:c>
      <x:c r="E17" s="14" t="str">
        <x:v>National, province, district/locality; utility system depending on source</x:v>
      </x:c>
      <x:c r="F17" s="14" t="str">
        <x:v>Access gaps, infrastructure deficits, spatial clustering, service-quality vs physical access</x:v>
      </x:c>
      <x:c r="G17" s="14" t="str">
        <x:v>Infrastructure presence is not equivalent to quality, reliability, affordability or actual use.</x:v>
      </x:c>
    </x:row>
    <x:row r="18" ht="72" customHeight="1">
      <x:c r="A18" s="14" t="str">
        <x:v>Climate / disasters / environmental exposure</x:v>
      </x:c>
      <x:c r="B18" s="14" t="str">
        <x:v>PMD, NDMA, WAPDA/IRSA; PBS agricultural data</x:v>
      </x:c>
      <x:c r="C18" s="14" t="str">
        <x:v>Station observations/reports, situation reports, geospatial layers</x:v>
      </x:c>
      <x:c r="D18" s="14" t="str">
        <x:v>NASA Earthdata, Copernicus CDS, EM-DAT, WorldPop</x:v>
      </x:c>
      <x:c r="E18" s="14" t="str">
        <x:v>Station, raster cell, district and national depending on product</x:v>
      </x:c>
      <x:c r="F18" s="14" t="str">
        <x:v>Flood/heat/drought exposure, crop impacts, population-at-risk, hazard/economic losses</x:v>
      </x:c>
      <x:c r="G18" s="14" t="str">
        <x:v>Raster resolution, station missingness and modelled products must be carried through the analysis.</x:v>
      </x:c>
    </x:row>
    <x:row r="19" ht="72" customHeight="1">
      <x:c r="A19" s="14" t="str">
        <x:v>Migration / overseas jobs</x:v>
      </x:c>
      <x:c r="B19" s="14" t="str">
        <x:v>Bureau of Emigration &amp; Overseas Employment; PBS LFS migration modules; diaspora dashboard</x:v>
      </x:c>
      <x:c r="C19" s="14" t="str">
        <x:v>Administrative counts, LFS microdata and dashboard exports where available</x:v>
      </x:c>
      <x:c r="D19" s="14" t="str">
        <x:v>ILO, UNHCR/IOM data for relevant migration domains</x:v>
      </x:c>
      <x:c r="E19" s="14" t="str">
        <x:v>National, destination country and origin district where reported</x:v>
      </x:c>
      <x:c r="F19" s="14" t="str">
        <x:v>Skills/destination trends, remittance relationships, regional labour-market pathways</x:v>
      </x:c>
      <x:c r="G19" s="14" t="str">
        <x:v>Registered overseas employment is not all migration; asylum/refugee data measures a different population.</x:v>
      </x:c>
    </x:row>
    <x:row r="20" ht="72" customHeight="1">
      <x:c r="A20" s="14" t="str">
        <x:v>Social protection / public programmes</x:v>
      </x:c>
      <x:c r="B20" s="14" t="str">
        <x:v>BISP official publications; Finance Division; PBS HIES/PSLM</x:v>
      </x:c>
      <x:c r="C20" s="14" t="str">
        <x:v>Programme reports and administrative data where released; household survey indicators</x:v>
      </x:c>
      <x:c r="D20" s="14" t="str">
        <x:v>World Bank / UNICEF social-protection resources</x:v>
      </x:c>
      <x:c r="E20" s="14" t="str">
        <x:v>National/provincial and programme-specific coverage</x:v>
      </x:c>
      <x:c r="F20" s="14" t="str">
        <x:v>Coverage gaps, benefit adequacy, beneficiary geography, targeting errors where data permit</x:v>
      </x:c>
      <x:c r="G20" s="14" t="str">
        <x:v>Beneficiary/admin data may be restricted; eligibility and actual receipt differ.</x:v>
      </x:c>
    </x:row>
    <x:row r="21" ht="72" customHeight="1">
      <x:c r="A21" s="14" t="str">
        <x:v>Governance / election / public services</x:v>
      </x:c>
      <x:c r="B21" s="14" t="str">
        <x:v>ECP; Auditor-General; provincial administrative sources; FAFEN</x:v>
      </x:c>
      <x:c r="C21" s="14" t="str">
        <x:v>Official results, audit PDF reports, election observation reports</x:v>
      </x:c>
      <x:c r="D21" s="14" t="str">
        <x:v>V-Dem; WJP; Freedom House; TI CPI</x:v>
      </x:c>
      <x:c r="E21" s="14" t="str">
        <x:v>National, constituency, department or survey/index level</x:v>
      </x:c>
      <x:c r="F21" s="14" t="str">
        <x:v>Spatial representation, accountability, spending anomalies, service-performance joins</x:v>
      </x:c>
      <x:c r="G21" s="14" t="str">
        <x:v>A perception index cannot be interpreted as a count of events/cases; audit observations require context.</x:v>
      </x:c>
    </x:row>
    <x:row r="22" ht="72" customHeight="1">
      <x:c r="A22" s="14" t="str">
        <x:v>Conflict / security / human rights</x:v>
      </x:c>
      <x:c r="B22" s="14" t="str">
        <x:v>Official incident statements and published Pakistan specialist monitors</x:v>
      </x:c>
      <x:c r="C22" s="14" t="str">
        <x:v>Incident datasets/reports where available</x:v>
      </x:c>
      <x:c r="D22" s="14" t="str">
        <x:v>ACLED, UCDP, PIPS, PICSS, CRSS, HRCP</x:v>
      </x:c>
      <x:c r="E22" s="14" t="str">
        <x:v>Event/incident, district, month/year depending on monitor</x:v>
      </x:c>
      <x:c r="F22" s="14" t="str">
        <x:v>Conflict rates, geographic exposure, trend comparison, civilian impacts</x:v>
      </x:c>
      <x:c r="G22" s="14" t="str">
        <x:v>Different sources use different incident definitions, inclusion thresholds and fatality verification rules.</x:v>
      </x:c>
    </x:row>
    <x:row r="23" ht="72" customHeight="1">
      <x:c r="A23" s="14" t="str">
        <x:v>Research papers / replication data</x:v>
      </x:c>
      <x:c r="B23" s="14" t="str">
        <x:v>HEC repository; IBA Data Archive; PASTIC, university centres and author repositories</x:v>
      </x:c>
      <x:c r="C23" s="14" t="str">
        <x:v>PDF papers, thesis files, supplementary data/code where published</x:v>
      </x:c>
      <x:c r="D23" s="14" t="str">
        <x:v>OpenAlex, RePEc, Crossref, Google Scholar</x:v>
      </x:c>
      <x:c r="E23" s="14" t="str">
        <x:v>Study-specific</x:v>
      </x:c>
      <x:c r="F23" s="14" t="str">
        <x:v>Replicate findings, reuse methods, discover hidden supplementary datasets</x:v>
      </x:c>
      <x:c r="G23" s="14" t="str">
        <x:v>Indexing is not an endorsement; check peer review, publication version, license and data/code availability.</x:v>
      </x:c>
    </x:row>
  </x:sheetData>
  <x:pageMargins left="0.7" right="0.7" top="0.75" bottom="0.75" header="0.3" footer="0.3"/>
  <x:tableParts count="1">
    <x:tablePart xmlns:r="http://schemas.openxmlformats.org/officeDocument/2006/relationships" r:id="R7522572b715741ce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5" hidden="0" customWidth="1"/>
    <x:col min="3" max="3" width="70" hidden="0" customWidth="1"/>
    <x:col min="4" max="4" width="48" hidden="0" customWidth="1"/>
    <x:col min="5" max="5" width="18" hidden="0" customWidth="1"/>
  </x:cols>
  <x:sheetData>
    <x:row r="1" ht="30" customHeight="1">
      <x:c r="A1" s="4" t="str">
        <x:v>Step</x:v>
      </x:c>
      <x:c r="B1" s="4" t="str">
        <x:v>Checkpoint</x:v>
      </x:c>
      <x:c r="C1" s="4" t="str">
        <x:v>What to do</x:v>
      </x:c>
      <x:c r="D1" s="4" t="str">
        <x:v>Evidence to save</x:v>
      </x:c>
      <x:c r="E1" s="4" t="str">
        <x:v>Status</x:v>
      </x:c>
    </x:row>
    <x:row r="2" ht="46" customHeight="1">
      <x:c r="A2" s="84" t="n">
        <x:v>1</x:v>
      </x:c>
      <x:c r="B2" s="84" t="str">
        <x:v>Define research question</x:v>
      </x:c>
      <x:c r="C2" s="84" t="str">
        <x:v>Write the outcome, population, geography, period and unit of analysis before downloading anything.</x:v>
      </x:c>
      <x:c r="D2" s="84" t="str">
        <x:v>One-sentence research question; target geography and years</x:v>
      </x:c>
      <x:c r="E2" s="88" t="str">
        <x:v>Not started</x:v>
      </x:c>
    </x:row>
    <x:row r="3" ht="46" customHeight="1">
      <x:c r="A3" s="84" t="n">
        <x:v>2</x:v>
      </x:c>
      <x:c r="B3" s="84" t="str">
        <x:v>Find primary source</x:v>
      </x:c>
      <x:c r="C3" s="84" t="str">
        <x:v>Prefer the agency that collected or legally maintains the raw records; use international databases for harmonization and comparison.</x:v>
      </x:c>
      <x:c r="D3" s="84" t="str">
        <x:v>Originating agency and canonical landing page</x:v>
      </x:c>
      <x:c r="E3" s="88" t="str">
        <x:v>Not started</x:v>
      </x:c>
    </x:row>
    <x:row r="4" ht="46" customHeight="1">
      <x:c r="A4" s="84" t="n">
        <x:v>3</x:v>
      </x:c>
      <x:c r="B4" s="84" t="str">
        <x:v>Identify exact artifact</x:v>
      </x:c>
      <x:c r="C4" s="84" t="str">
        <x:v>Record the survey wave, table number, file name, data version and publication date. Do not rely on homepage alone.</x:v>
      </x:c>
      <x:c r="D4" s="84" t="str">
        <x:v>Direct URL, file name, checksum if practical, access date</x:v>
      </x:c>
      <x:c r="E4" s="88" t="str">
        <x:v>Not started</x:v>
      </x:c>
    </x:row>
    <x:row r="5" ht="46" customHeight="1">
      <x:c r="A5" s="84" t="n">
        <x:v>4</x:v>
      </x:c>
      <x:c r="B5" s="84" t="str">
        <x:v>Obtain documentation</x:v>
      </x:c>
      <x:c r="C5" s="84" t="str">
        <x:v>Download questionnaire, codebook, enumerator manual, sampling design, weights, classifications, metadata and geographic crosswalks.</x:v>
      </x:c>
      <x:c r="D5" s="84" t="str">
        <x:v>Documentation folder / URLs</x:v>
      </x:c>
      <x:c r="E5" s="88" t="str">
        <x:v>Not started</x:v>
      </x:c>
    </x:row>
    <x:row r="6" ht="46" customHeight="1">
      <x:c r="A6" s="84" t="n">
        <x:v>5</x:v>
      </x:c>
      <x:c r="B6" s="84" t="str">
        <x:v>Check access and license</x:v>
      </x:c>
      <x:c r="C6" s="84" t="str">
        <x:v>Record whether the file is open, registration-based, restricted, paid or subject to redistribution limits.</x:v>
      </x:c>
      <x:c r="D6" s="84" t="str">
        <x:v>License/terms, access permission and any required citation</x:v>
      </x:c>
      <x:c r="E6" s="88" t="str">
        <x:v>Not started</x:v>
      </x:c>
    </x:row>
    <x:row r="7" ht="46" customHeight="1">
      <x:c r="A7" s="84" t="n">
        <x:v>6</x:v>
      </x:c>
      <x:c r="B7" s="84" t="str">
        <x:v>Preserve the source</x:v>
      </x:c>
      <x:c r="C7" s="84" t="str">
        <x:v>Keep the unmodified original file separately from cleaned copies; do not overwrite raw files.</x:v>
      </x:c>
      <x:c r="D7" s="84" t="str">
        <x:v>Read-only raw file and SHA-256 checksum</x:v>
      </x:c>
      <x:c r="E7" s="88" t="str">
        <x:v>Not started</x:v>
      </x:c>
    </x:row>
    <x:row r="8" ht="46" customHeight="1">
      <x:c r="A8" s="84" t="n">
        <x:v>7</x:v>
      </x:c>
      <x:c r="B8" s="84" t="str">
        <x:v>Inspect data structure</x:v>
      </x:c>
      <x:c r="C8" s="84" t="str">
        <x:v>Count records/variables, inspect missing values, duplicates, codes, ranges, weights and keys.</x:v>
      </x:c>
      <x:c r="D8" s="84" t="str">
        <x:v>Data profile / validation log</x:v>
      </x:c>
      <x:c r="E8" s="88" t="str">
        <x:v>Not started</x:v>
      </x:c>
    </x:row>
    <x:row r="9" ht="46" customHeight="1">
      <x:c r="A9" s="84" t="n">
        <x:v>8</x:v>
      </x:c>
      <x:c r="B9" s="84" t="str">
        <x:v>Confirm unit of observation</x:v>
      </x:c>
      <x:c r="C9" s="84" t="str">
        <x:v>Determine whether rows represent people, households, firms, schools, incidents, district-years or time-series points.</x:v>
      </x:c>
      <x:c r="D9" s="84" t="str">
        <x:v>Data dictionary with unit of observation</x:v>
      </x:c>
      <x:c r="E9" s="88" t="str">
        <x:v>Not started</x:v>
      </x:c>
    </x:row>
    <x:row r="10" ht="46" customHeight="1">
      <x:c r="A10" s="84" t="n">
        <x:v>9</x:v>
      </x:c>
      <x:c r="B10" s="84" t="str">
        <x:v>Check sample / estimation</x:v>
      </x:c>
      <x:c r="C10" s="84" t="str">
        <x:v>Read sampling design, strata, clusters, weights, response rate and survey domain definitions before calculating estimates.</x:v>
      </x:c>
      <x:c r="D10" s="84" t="str">
        <x:v>Method note and analysis weight/strata/PSU fields</x:v>
      </x:c>
      <x:c r="E10" s="88" t="str">
        <x:v>Not started</x:v>
      </x:c>
    </x:row>
    <x:row r="11" ht="46" customHeight="1">
      <x:c r="A11" s="84" t="n">
        <x:v>10</x:v>
      </x:c>
      <x:c r="B11" s="84" t="str">
        <x:v>Align time periods</x:v>
      </x:c>
      <x:c r="C11" s="84" t="str">
        <x:v>Separate calendar year, financial year, survey fieldwork period, release date and estimate year.</x:v>
      </x:c>
      <x:c r="D11" s="84" t="str">
        <x:v>Comparable-period mapping</x:v>
      </x:c>
      <x:c r="E11" s="88" t="str">
        <x:v>Not started</x:v>
      </x:c>
    </x:row>
    <x:row r="12" ht="46" customHeight="1">
      <x:c r="A12" s="84" t="n">
        <x:v>11</x:v>
      </x:c>
      <x:c r="B12" s="84" t="str">
        <x:v>Align geography</x:v>
      </x:c>
      <x:c r="C12" s="84" t="str">
        <x:v>Use official district/province codes and versioned boundary files; document splits, merges and renamed units.</x:v>
      </x:c>
      <x:c r="D12" s="84" t="str">
        <x:v>Geography crosswalk and boundary version</x:v>
      </x:c>
      <x:c r="E12" s="88" t="str">
        <x:v>Not started</x:v>
      </x:c>
    </x:row>
    <x:row r="13" ht="46" customHeight="1">
      <x:c r="A13" s="84" t="n">
        <x:v>12</x:v>
      </x:c>
      <x:c r="B13" s="84" t="str">
        <x:v>Standardize but retain originals</x:v>
      </x:c>
      <x:c r="C13" s="84" t="str">
        <x:v>Use consistent variable names, units, dates, categories, currency, inflation basis and missing-value handling in derived files.</x:v>
      </x:c>
      <x:c r="D13" s="84" t="str">
        <x:v>Reproducible transformation script / notebook</x:v>
      </x:c>
      <x:c r="E13" s="88" t="str">
        <x:v>Not started</x:v>
      </x:c>
    </x:row>
    <x:row r="14" ht="46" customHeight="1">
      <x:c r="A14" s="84" t="n">
        <x:v>13</x:v>
      </x:c>
      <x:c r="B14" s="84" t="str">
        <x:v>Triangulate</x:v>
      </x:c>
      <x:c r="C14" s="84" t="str">
        <x:v>Compare key values with a second credible source and investigate differences in methods, revisions or definitions.</x:v>
      </x:c>
      <x:c r="D14" s="84" t="str">
        <x:v>Cross-source comparison table</x:v>
      </x:c>
      <x:c r="E14" s="88" t="str">
        <x:v>Not started</x:v>
      </x:c>
    </x:row>
    <x:row r="15" ht="46" customHeight="1">
      <x:c r="A15" s="84" t="n">
        <x:v>14</x:v>
      </x:c>
      <x:c r="B15" s="84" t="str">
        <x:v>Protect privacy</x:v>
      </x:c>
      <x:c r="C15" s="84" t="str">
        <x:v>Check disclosure risk for microdata, rare categories, tiny geographies and sensitive personal records; avoid reidentification.</x:v>
      </x:c>
      <x:c r="D15" s="84" t="str">
        <x:v>Privacy assessment and aggregation rules</x:v>
      </x:c>
      <x:c r="E15" s="88" t="str">
        <x:v>Not started</x:v>
      </x:c>
    </x:row>
    <x:row r="16" ht="46" customHeight="1">
      <x:c r="A16" s="84" t="n">
        <x:v>15</x:v>
      </x:c>
      <x:c r="B16" s="84" t="str">
        <x:v>Analyze only after QA</x:v>
      </x:c>
      <x:c r="C16" s="84" t="str">
        <x:v>Create derived metrics only after provenance, comparability, sample design, units and missingness have been checked.</x:v>
      </x:c>
      <x:c r="D16" s="84" t="str">
        <x:v>QA-approved analytical dataset</x:v>
      </x:c>
      <x:c r="E16" s="88" t="str">
        <x:v>Not started</x:v>
      </x:c>
    </x:row>
    <x:row r="17" ht="46" customHeight="1">
      <x:c r="A17" s="84" t="n">
        <x:v>16</x:v>
      </x:c>
      <x:c r="B17" s="84" t="str">
        <x:v>Publish reproducibly</x:v>
      </x:c>
      <x:c r="C17" s="84" t="str">
        <x:v>Cite source file/version, period, geography, method and retrieval date; distinguish official data from modeled estimates and third-party compilation.</x:v>
      </x:c>
      <x:c r="D17" s="84" t="str">
        <x:v>Citation record, code, outputs and limitations</x:v>
      </x:c>
      <x:c r="E17" s="88" t="str">
        <x:v>Not started</x:v>
      </x:c>
    </x:row>
  </x:sheetData>
  <x:dataValidations count="1">
    <x:dataValidation type="list" sqref="E2:E17">
      <x:formula1>"Not started,In progress,Done,Not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ef13fb13d34ded"/>
  </x:tableParts>
</x:worksheet>
</file>